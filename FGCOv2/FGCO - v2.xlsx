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4\Desktop\"/>
    </mc:Choice>
  </mc:AlternateContent>
  <xr:revisionPtr revIDLastSave="0" documentId="13_ncr:1_{3BD95758-3C13-4C47-B896-4E2FAC669AEA}" xr6:coauthVersionLast="36" xr6:coauthVersionMax="36" xr10:uidLastSave="{00000000-0000-0000-0000-000000000000}"/>
  <bookViews>
    <workbookView xWindow="0" yWindow="0" windowWidth="28800" windowHeight="12225" activeTab="10" xr2:uid="{00000000-000D-0000-FFFF-FFFF00000000}"/>
  </bookViews>
  <sheets>
    <sheet name="Summary" sheetId="1" r:id="rId1"/>
    <sheet name="1" sheetId="26" r:id="rId2"/>
    <sheet name="2" sheetId="27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27" l="1"/>
  <c r="F17" i="27"/>
  <c r="E17" i="27"/>
  <c r="D17" i="27"/>
  <c r="G16" i="27"/>
  <c r="F16" i="27"/>
  <c r="E16" i="27"/>
  <c r="D16" i="27"/>
  <c r="G17" i="26" l="1"/>
  <c r="F17" i="26"/>
  <c r="E17" i="26"/>
  <c r="D17" i="26"/>
  <c r="G16" i="26"/>
  <c r="F16" i="26"/>
  <c r="E16" i="26"/>
  <c r="D16" i="26"/>
</calcChain>
</file>

<file path=xl/sharedStrings.xml><?xml version="1.0" encoding="utf-8"?>
<sst xmlns="http://schemas.openxmlformats.org/spreadsheetml/2006/main" count="700" uniqueCount="179">
  <si>
    <t>Algorithm</t>
  </si>
  <si>
    <t>Weak</t>
  </si>
  <si>
    <t>Strict</t>
  </si>
  <si>
    <t>Trained</t>
  </si>
  <si>
    <t>Tested</t>
  </si>
  <si>
    <t>Criteria / Method</t>
  </si>
  <si>
    <t>Model</t>
  </si>
  <si>
    <t>SRC</t>
  </si>
  <si>
    <t>NNTL</t>
  </si>
  <si>
    <t>SRC - Short Referee Coordinates</t>
  </si>
  <si>
    <t>SRO - Short Referee Output</t>
  </si>
  <si>
    <t>SRO</t>
  </si>
  <si>
    <t>NTL</t>
  </si>
  <si>
    <t>No. of</t>
  </si>
  <si>
    <t xml:space="preserve"> layers</t>
  </si>
  <si>
    <t>Neural</t>
  </si>
  <si>
    <t>Network</t>
  </si>
  <si>
    <t>SRC +/-2</t>
  </si>
  <si>
    <t>SRC +/-1</t>
  </si>
  <si>
    <t>ann16_mdts</t>
  </si>
  <si>
    <t>ann77_mdts</t>
  </si>
  <si>
    <t>ann2_mdts</t>
  </si>
  <si>
    <t>ann326_mdts</t>
  </si>
  <si>
    <t>ann330_mdts</t>
  </si>
  <si>
    <t>ann804_mdts</t>
  </si>
  <si>
    <t>ann2241_mdts</t>
  </si>
  <si>
    <t>ann2829_mdts</t>
  </si>
  <si>
    <t>ann5861_mdts</t>
  </si>
  <si>
    <t>ann11191_mdts</t>
  </si>
  <si>
    <t>ann15766_mdts</t>
  </si>
  <si>
    <t>ann16524_mdts</t>
  </si>
  <si>
    <t>ann19472_mdts</t>
  </si>
  <si>
    <t>ann24896_mdts</t>
  </si>
  <si>
    <t>OLD AVG</t>
  </si>
  <si>
    <t>NEW AVG</t>
  </si>
  <si>
    <t>refBoardSE - #3 - NEW MDTS - NNTL + GS + More Layers + LRC + LRO + Partial Activation + ParamCheck.zip</t>
  </si>
  <si>
    <t>LRC</t>
  </si>
  <si>
    <t>LRC - Long Referee Coordinates</t>
  </si>
  <si>
    <t>LRO - Long Referee Output</t>
  </si>
  <si>
    <t>LRO</t>
  </si>
  <si>
    <t>FRO</t>
  </si>
  <si>
    <t>refBoardSE - #4 - NEW MDTS - NNTL + GS + More Layers + LRC + FRO + Partial Activation + ParamCheck.zip</t>
  </si>
  <si>
    <t>ann27_mdts</t>
  </si>
  <si>
    <t>ann801_mdts</t>
  </si>
  <si>
    <t>ann2089_mdts</t>
  </si>
  <si>
    <t>ann5863_mdts</t>
  </si>
  <si>
    <t>ann11203_mdts</t>
  </si>
  <si>
    <t>ann15770_mdts</t>
  </si>
  <si>
    <t>ann16523_mdts</t>
  </si>
  <si>
    <t>ann19466_mdts</t>
  </si>
  <si>
    <t>ann24894_mdts</t>
  </si>
  <si>
    <t>refBoardSE - #7 - NEW MDTS - NTL + GS + More Layers + LRC + LRO + Partial Activation + ParamCheck.zip</t>
  </si>
  <si>
    <t>refBoardSE - #8 - NEW MDTS - NTL + GS + More Layers + LRC + FRO + Partial Activation + ParamCheck.zip</t>
  </si>
  <si>
    <t>FCC - Full Court Coordinates</t>
  </si>
  <si>
    <t>FCC - FBO - Full Court Coordinates with Full Ball Ownership</t>
  </si>
  <si>
    <t>FCC - SBO - Full Court Coordinates with Short Ball Ownership</t>
  </si>
  <si>
    <t>FRO - Full Referee Output</t>
  </si>
  <si>
    <t>FCC</t>
  </si>
  <si>
    <t>ann69_mdts</t>
  </si>
  <si>
    <t>ann799_mdts</t>
  </si>
  <si>
    <t>ann2084_mdts</t>
  </si>
  <si>
    <t>ann2832_mdts</t>
  </si>
  <si>
    <t>ann5872_mdts</t>
  </si>
  <si>
    <t>ann11201_mdts</t>
  </si>
  <si>
    <t>ann15782_mdts</t>
  </si>
  <si>
    <t>ann16510_mdts</t>
  </si>
  <si>
    <t>ann24890_mdts</t>
  </si>
  <si>
    <t>refBoardSE - #3 - NEW MDTS - NNTL + GS + More Layers + FCC + LRO + Partial Activation + ParamCheck.zip</t>
  </si>
  <si>
    <t>refBoardSE - #4 - NEW MDTS - NNTL + GS + More Layers + FCC + FRO + Partial Activation + ParamCheck.zip</t>
  </si>
  <si>
    <t>ann1957_mdts</t>
  </si>
  <si>
    <t>ann17_mdts</t>
  </si>
  <si>
    <t>ann2094_mdts</t>
  </si>
  <si>
    <t>ann2818_mdts</t>
  </si>
  <si>
    <t>ann5881_mdts</t>
  </si>
  <si>
    <t>ann15777_mdts</t>
  </si>
  <si>
    <t>ann16511_mdts</t>
  </si>
  <si>
    <t>ann19476_mdts</t>
  </si>
  <si>
    <t>ann24898_mdts</t>
  </si>
  <si>
    <t>refBoardSE - #7 - NEW MDTS - NTL + GS + More Layers + FCC + LRO + Partial Activation + ParamCheck.zip</t>
  </si>
  <si>
    <t>refBoardSE - #8 - NEW MDTS - NTL + GS + More Layers + FCC + FRO + Partial Activation + ParamCheck.zip</t>
  </si>
  <si>
    <t>FCC - FBO</t>
  </si>
  <si>
    <t>ann1_mdts</t>
  </si>
  <si>
    <t>ann803_mdts</t>
  </si>
  <si>
    <t>ann2826_mdts</t>
  </si>
  <si>
    <t>ann11190_mdts</t>
  </si>
  <si>
    <t>ann15772_mdts</t>
  </si>
  <si>
    <t>ann16509_mdts</t>
  </si>
  <si>
    <t>ann19467_mdts</t>
  </si>
  <si>
    <t>refBoardSE - #5 - NEW MDTS - NNTL + GS + More Layers + FCC_FBO + LRO + Partial Activation + ParamCheck.zip</t>
  </si>
  <si>
    <t>refBoardSE - #6 - NEW MDTS - NNTL + GS + More Layers + FCC_FBO + FRO + Partial Activation + ParamCheck.zip</t>
  </si>
  <si>
    <t>ann4_mdts</t>
  </si>
  <si>
    <t>ann2090_mdts</t>
  </si>
  <si>
    <t>ann2810_mdts</t>
  </si>
  <si>
    <t>ann11183_mdts</t>
  </si>
  <si>
    <t>ann15771_mdts</t>
  </si>
  <si>
    <t>ann16528_mdts</t>
  </si>
  <si>
    <t>ann19471_mdts</t>
  </si>
  <si>
    <t>ann24884_mdts</t>
  </si>
  <si>
    <t>refBoardSE - #7 - NEW MDTS - NTL + GS + More Layers + FCC_FBO + LRO + Partial Activation + ParamCheck.zip</t>
  </si>
  <si>
    <t>refBoardSE - #8 - NEW MDTS - NTL + GS + More Layers + FCC_FBO + FRO + Partial Activation + ParamCheck.zip</t>
  </si>
  <si>
    <t>Standard Network Set</t>
  </si>
  <si>
    <t>Expanded (Additional) Network Set</t>
  </si>
  <si>
    <t>FCC - SBO</t>
  </si>
  <si>
    <t>ann28_mdts</t>
  </si>
  <si>
    <t>ann1967_mdts</t>
  </si>
  <si>
    <t>ann2085_mdts</t>
  </si>
  <si>
    <t>ann2825_mdts</t>
  </si>
  <si>
    <t>ann15763_mdts</t>
  </si>
  <si>
    <t>ann24893_mdts</t>
  </si>
  <si>
    <t>refBoardSE - #5 - NEW MDTS - NNTL + GS + More Layers + FCC_SBO + LRO + Partial Activation + ParamCheck.zip</t>
  </si>
  <si>
    <t>refBoardSE - #6 - NEW MDTS - NNTL + GS + More Layers + FCC_SBO + FRO + Partial Activation + ParamCheck.zip</t>
  </si>
  <si>
    <t>ann65_mdts</t>
  </si>
  <si>
    <t>ann68_mdts</t>
  </si>
  <si>
    <t>ann2092_mdts</t>
  </si>
  <si>
    <t>ann2814_mdts</t>
  </si>
  <si>
    <t>ann5868_mdts</t>
  </si>
  <si>
    <t>ann15783_mdts</t>
  </si>
  <si>
    <t>ann19465_mdts</t>
  </si>
  <si>
    <t>ann24888_mdts</t>
  </si>
  <si>
    <t>refBoardSE - #7 - NEW MDTS - NTL + GS + More Layers + FCC_SBO + LRO + Partial Activation + ParamCheck.zip</t>
  </si>
  <si>
    <t>refBoardSE - #8 - NEW MDTS - NTL + GS + More Layers + FCC_SBO + FRO + Partial Activation + ParamCheck.zip</t>
  </si>
  <si>
    <t>FCC - SRC - Fulll Court Coordinates with Short Referee Coordinates</t>
  </si>
  <si>
    <t>FCC - FBO - SRC - Full Court Coordinates with Full Ball Ownership and Short Referee Coordinates</t>
  </si>
  <si>
    <t>FCC - SBO - SRC - Full Court Coordinates with Short Ball Ownership and Short Referee Coordinates</t>
  </si>
  <si>
    <t>FCC - SRC</t>
  </si>
  <si>
    <t xml:space="preserve">FCC - FBO - SRC </t>
  </si>
  <si>
    <t xml:space="preserve">FCC - SBO - SRC </t>
  </si>
  <si>
    <t>ann24895_mdts</t>
  </si>
  <si>
    <t>ann8_mdts</t>
  </si>
  <si>
    <t>ann625_mdts</t>
  </si>
  <si>
    <t>ann2234_mdts</t>
  </si>
  <si>
    <t>ann5883_mdts</t>
  </si>
  <si>
    <t>ann11196_mdts</t>
  </si>
  <si>
    <t>ann16520_mdts</t>
  </si>
  <si>
    <t>ann19474_mdts</t>
  </si>
  <si>
    <t>refBoardSE - #3 - NEW MDTS - NNTL + GS + More Layers + FCC_YYX + SRO + Partial Activation + ParamCheck</t>
  </si>
  <si>
    <t>ann337_mdts</t>
  </si>
  <si>
    <t>ann1962_mdts</t>
  </si>
  <si>
    <t>ann2095_mdts</t>
  </si>
  <si>
    <t>ann2812_mdts</t>
  </si>
  <si>
    <t>ann5885_mdts</t>
  </si>
  <si>
    <t>ann15778_mdts</t>
  </si>
  <si>
    <t>ann19457_mdts</t>
  </si>
  <si>
    <t>refBoardSE - #4 - NEW MDTS - NTL + GS + More Layers + FCC_YYX + SRO + Partial Activation + ParamCheck.zip</t>
  </si>
  <si>
    <t>ann1972_mdts</t>
  </si>
  <si>
    <t>ann11199_mdts</t>
  </si>
  <si>
    <t>ann16514_mdts</t>
  </si>
  <si>
    <t>ann19462_mdts</t>
  </si>
  <si>
    <t>refBoardSE - #3 - NEW MDTS - NNTL + GS + More Layers + FCC_FBO_YYX + SRO + Partial Activation + ParamCheck.zip</t>
  </si>
  <si>
    <t>ann114_mdts</t>
  </si>
  <si>
    <t>ann627_mdts</t>
  </si>
  <si>
    <t>ann2083_mdts</t>
  </si>
  <si>
    <t>ann2830_mdts</t>
  </si>
  <si>
    <t>ann15764_mdts</t>
  </si>
  <si>
    <t>ann24892_mdts</t>
  </si>
  <si>
    <t>refBoardSE - #4 - NEW MDTS - NTL + GS + More Layers + FCC_FBO_YYX + SRO + Partial Activation + ParamCheck.zip</t>
  </si>
  <si>
    <t>ann2096_mdts</t>
  </si>
  <si>
    <t>ann5865_mdts</t>
  </si>
  <si>
    <t>ann11185_mdts</t>
  </si>
  <si>
    <t>ann15761_mdts</t>
  </si>
  <si>
    <t>ann16513_mdts</t>
  </si>
  <si>
    <t>ann24882_mdts</t>
  </si>
  <si>
    <t>refBoardSE - #3 - NEW MDTS - NNTL + GS + More Layers + FCC_SBO_YYX + SRO + Partial Activation + ParamCheck.zip</t>
  </si>
  <si>
    <t>ann629_mdts</t>
  </si>
  <si>
    <t>ann2813_mdts</t>
  </si>
  <si>
    <t>ann16516_mdts</t>
  </si>
  <si>
    <t>ann24889_mdts</t>
  </si>
  <si>
    <t>refBoardSE - #4 - NEW MDTS - NTL + GS + More Layers + FCC_SBO_YYX + SRO + Partial Activation + ParamCheck.zip</t>
  </si>
  <si>
    <t>ann66_mdts</t>
  </si>
  <si>
    <t>ann1970_mdts</t>
  </si>
  <si>
    <t>ann2097_mdts</t>
  </si>
  <si>
    <t>ann24900_mdts</t>
  </si>
  <si>
    <t>refBoardSE - #9 - NEW MDTS - NNTL + GS + More Layers + SRC + SRO + Partial Activation + ParamCheck.zip</t>
  </si>
  <si>
    <t>ann18_mdts</t>
  </si>
  <si>
    <t>ann630_mdts</t>
  </si>
  <si>
    <t>ann2086_mdts</t>
  </si>
  <si>
    <t>ann2827_mdts</t>
  </si>
  <si>
    <t>ann11197_mdts</t>
  </si>
  <si>
    <t>refBoardSE - #10 - NEW MDTS - NTL + GS + More Layers + SRC + SRO + Partial Activation + ParamCheck.zip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</si>
</sst>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2" fontId="2" fillId="3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0" fillId="4" borderId="0" xfId="0" applyFill="1"/>
    <xf numFmtId="2" fontId="2" fillId="4" borderId="8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workbookViewId="0">
      <selection activeCell="B24" sqref="B24:D25"/>
    </sheetView>
  </sheetViews>
  <sheetFormatPr defaultRowHeight="15" x14ac:dyDescent="0.25"/>
  <cols>
    <col min="2" max="2" width="15.42578125" customWidth="1"/>
    <col min="3" max="3" width="13" customWidth="1"/>
    <col min="4" max="4" width="17.140625" customWidth="1"/>
  </cols>
  <sheetData>
    <row r="1" spans="1:13" x14ac:dyDescent="0.25">
      <c r="B1" t="s">
        <v>9</v>
      </c>
    </row>
    <row r="2" spans="1:13" x14ac:dyDescent="0.25">
      <c r="B2" t="s">
        <v>37</v>
      </c>
    </row>
    <row r="3" spans="1:13" x14ac:dyDescent="0.25">
      <c r="B3" t="s">
        <v>53</v>
      </c>
    </row>
    <row r="4" spans="1:13" x14ac:dyDescent="0.25">
      <c r="B4" t="s">
        <v>54</v>
      </c>
    </row>
    <row r="5" spans="1:13" x14ac:dyDescent="0.25">
      <c r="B5" t="s">
        <v>55</v>
      </c>
    </row>
    <row r="6" spans="1:13" x14ac:dyDescent="0.25">
      <c r="B6" t="s">
        <v>121</v>
      </c>
    </row>
    <row r="7" spans="1:13" x14ac:dyDescent="0.25">
      <c r="B7" t="s">
        <v>122</v>
      </c>
    </row>
    <row r="8" spans="1:13" x14ac:dyDescent="0.25">
      <c r="B8" t="s">
        <v>123</v>
      </c>
    </row>
    <row r="9" spans="1:13" x14ac:dyDescent="0.25">
      <c r="B9" t="s">
        <v>10</v>
      </c>
      <c r="M9" s="12"/>
    </row>
    <row r="10" spans="1:13" x14ac:dyDescent="0.25">
      <c r="B10" t="s">
        <v>38</v>
      </c>
      <c r="M10" s="12"/>
    </row>
    <row r="11" spans="1:13" x14ac:dyDescent="0.25">
      <c r="B11" t="s">
        <v>56</v>
      </c>
      <c r="M11" s="12"/>
    </row>
    <row r="12" spans="1:13" x14ac:dyDescent="0.25">
      <c r="E12" s="53"/>
      <c r="F12" s="53"/>
      <c r="G12" s="53"/>
      <c r="H12" s="53"/>
      <c r="M12" s="12"/>
    </row>
    <row r="13" spans="1:13" x14ac:dyDescent="0.25">
      <c r="E13" s="55" t="s">
        <v>101</v>
      </c>
      <c r="F13" s="55"/>
      <c r="G13" s="55"/>
      <c r="H13" s="55"/>
      <c r="I13" s="55" t="s">
        <v>100</v>
      </c>
      <c r="J13" s="55"/>
      <c r="K13" s="55"/>
      <c r="L13" s="55"/>
      <c r="M13" s="12"/>
    </row>
    <row r="14" spans="1:13" x14ac:dyDescent="0.25">
      <c r="E14" s="54" t="s">
        <v>3</v>
      </c>
      <c r="F14" s="54"/>
      <c r="G14" s="54" t="s">
        <v>4</v>
      </c>
      <c r="H14" s="54"/>
      <c r="I14" s="54" t="s">
        <v>3</v>
      </c>
      <c r="J14" s="54"/>
      <c r="K14" s="54" t="s">
        <v>4</v>
      </c>
      <c r="L14" s="54"/>
      <c r="M14" s="12"/>
    </row>
    <row r="15" spans="1:13" ht="15.75" thickBot="1" x14ac:dyDescent="0.3">
      <c r="B15" t="s">
        <v>6</v>
      </c>
      <c r="C15" t="s">
        <v>0</v>
      </c>
      <c r="D15" t="s">
        <v>5</v>
      </c>
      <c r="E15" s="1" t="s">
        <v>1</v>
      </c>
      <c r="F15" s="1" t="s">
        <v>2</v>
      </c>
      <c r="G15" s="1" t="s">
        <v>1</v>
      </c>
      <c r="H15" s="1" t="s">
        <v>2</v>
      </c>
      <c r="I15" s="1" t="s">
        <v>1</v>
      </c>
      <c r="J15" s="1" t="s">
        <v>2</v>
      </c>
      <c r="K15" s="1" t="s">
        <v>1</v>
      </c>
      <c r="L15" s="1" t="s">
        <v>2</v>
      </c>
      <c r="M15" s="13"/>
    </row>
    <row r="16" spans="1:13" ht="15.75" thickBot="1" x14ac:dyDescent="0.3">
      <c r="A16">
        <v>1</v>
      </c>
      <c r="B16" t="s">
        <v>7</v>
      </c>
      <c r="C16" t="s">
        <v>8</v>
      </c>
      <c r="D16" t="s">
        <v>11</v>
      </c>
      <c r="E16" s="33">
        <v>80.761099365750525</v>
      </c>
      <c r="F16" s="33">
        <v>35.095137420718814</v>
      </c>
      <c r="G16" s="33">
        <v>11.363636363636363</v>
      </c>
      <c r="H16" s="33">
        <v>0</v>
      </c>
      <c r="I16" s="32">
        <v>92.635658914728694</v>
      </c>
      <c r="J16" s="32">
        <v>49.61240310077519</v>
      </c>
      <c r="K16" s="32">
        <v>7.5</v>
      </c>
      <c r="L16" s="32">
        <v>0</v>
      </c>
      <c r="M16" s="52">
        <v>2.1</v>
      </c>
    </row>
    <row r="17" spans="1:13" ht="15.75" thickBot="1" x14ac:dyDescent="0.3">
      <c r="A17">
        <v>2</v>
      </c>
      <c r="B17" t="s">
        <v>7</v>
      </c>
      <c r="C17" t="s">
        <v>12</v>
      </c>
      <c r="D17" t="s">
        <v>11</v>
      </c>
      <c r="E17" s="33">
        <v>50.317124735729386</v>
      </c>
      <c r="F17" s="33">
        <v>6.131078224101481</v>
      </c>
      <c r="G17" s="33">
        <v>21.818181818181817</v>
      </c>
      <c r="H17" s="33">
        <v>0</v>
      </c>
      <c r="I17" s="38">
        <v>61.627906976744185</v>
      </c>
      <c r="J17" s="38">
        <v>9.3023255813953494</v>
      </c>
      <c r="K17" s="38">
        <v>15.833333333333334</v>
      </c>
      <c r="L17" s="38">
        <v>0</v>
      </c>
      <c r="M17" s="50"/>
    </row>
    <row r="18" spans="1:13" ht="15.75" thickBot="1" x14ac:dyDescent="0.3">
      <c r="A18">
        <v>3</v>
      </c>
      <c r="B18" t="s">
        <v>36</v>
      </c>
      <c r="C18" t="s">
        <v>8</v>
      </c>
      <c r="D18" t="s">
        <v>39</v>
      </c>
      <c r="E18" s="39">
        <v>61.73</v>
      </c>
      <c r="F18" s="40">
        <v>8.0299999999999994</v>
      </c>
      <c r="G18" s="40">
        <v>20</v>
      </c>
      <c r="H18" s="40">
        <v>0</v>
      </c>
      <c r="I18" s="23">
        <v>72.87</v>
      </c>
      <c r="J18" s="23">
        <v>12.4</v>
      </c>
      <c r="K18" s="23">
        <v>15</v>
      </c>
      <c r="L18" s="23">
        <v>0</v>
      </c>
      <c r="M18" s="52">
        <v>2.2000000000000002</v>
      </c>
    </row>
    <row r="19" spans="1:13" ht="15.75" thickBot="1" x14ac:dyDescent="0.3">
      <c r="A19">
        <v>4</v>
      </c>
      <c r="B19" t="s">
        <v>36</v>
      </c>
      <c r="C19" t="s">
        <v>8</v>
      </c>
      <c r="D19" t="s">
        <v>40</v>
      </c>
      <c r="E19" s="39">
        <v>61.52</v>
      </c>
      <c r="F19" s="40">
        <v>7.82</v>
      </c>
      <c r="G19" s="40">
        <v>20</v>
      </c>
      <c r="H19" s="40">
        <v>0</v>
      </c>
      <c r="I19" s="23">
        <v>72.87</v>
      </c>
      <c r="J19" s="23">
        <v>12.02</v>
      </c>
      <c r="K19" s="23">
        <v>15</v>
      </c>
      <c r="L19" s="23">
        <v>0</v>
      </c>
      <c r="M19" s="50"/>
    </row>
    <row r="20" spans="1:13" ht="15.75" thickBot="1" x14ac:dyDescent="0.3">
      <c r="A20">
        <v>5</v>
      </c>
      <c r="B20" t="s">
        <v>36</v>
      </c>
      <c r="C20" t="s">
        <v>12</v>
      </c>
      <c r="D20" t="s">
        <v>39</v>
      </c>
      <c r="E20" s="39">
        <v>49.89</v>
      </c>
      <c r="F20" s="40">
        <v>2.54</v>
      </c>
      <c r="G20" s="40">
        <v>19.09</v>
      </c>
      <c r="H20" s="40">
        <v>0</v>
      </c>
      <c r="I20" s="23">
        <v>57.36</v>
      </c>
      <c r="J20" s="23">
        <v>3.1</v>
      </c>
      <c r="K20" s="23">
        <v>14.17</v>
      </c>
      <c r="L20" s="23">
        <v>0</v>
      </c>
      <c r="M20" s="50"/>
    </row>
    <row r="21" spans="1:13" ht="15.75" thickBot="1" x14ac:dyDescent="0.3">
      <c r="A21">
        <v>6</v>
      </c>
      <c r="B21" t="s">
        <v>36</v>
      </c>
      <c r="C21" t="s">
        <v>12</v>
      </c>
      <c r="D21" t="s">
        <v>40</v>
      </c>
      <c r="E21" s="39">
        <v>49.89</v>
      </c>
      <c r="F21" s="40">
        <v>2.11</v>
      </c>
      <c r="G21" s="40">
        <v>19.09</v>
      </c>
      <c r="H21" s="40">
        <v>0</v>
      </c>
      <c r="I21" s="23">
        <v>57.36</v>
      </c>
      <c r="J21" s="23">
        <v>2.33</v>
      </c>
      <c r="K21" s="23">
        <v>14.17</v>
      </c>
      <c r="L21" s="23">
        <v>0</v>
      </c>
      <c r="M21" s="50"/>
    </row>
    <row r="22" spans="1:13" ht="15.75" thickBot="1" x14ac:dyDescent="0.3">
      <c r="A22">
        <v>7</v>
      </c>
      <c r="B22" t="s">
        <v>57</v>
      </c>
      <c r="C22" t="s">
        <v>8</v>
      </c>
      <c r="D22" t="s">
        <v>39</v>
      </c>
      <c r="E22" s="39">
        <v>63</v>
      </c>
      <c r="F22" s="40">
        <v>5.5</v>
      </c>
      <c r="G22" s="40">
        <v>16.36</v>
      </c>
      <c r="H22" s="40">
        <v>0</v>
      </c>
      <c r="I22" s="23">
        <v>73.64</v>
      </c>
      <c r="J22" s="23">
        <v>8.14</v>
      </c>
      <c r="K22" s="23">
        <v>11.67</v>
      </c>
      <c r="L22" s="23">
        <v>0</v>
      </c>
      <c r="M22" s="49">
        <v>1.1000000000000001</v>
      </c>
    </row>
    <row r="23" spans="1:13" ht="15.75" thickBot="1" x14ac:dyDescent="0.3">
      <c r="A23">
        <v>8</v>
      </c>
      <c r="B23" t="s">
        <v>57</v>
      </c>
      <c r="C23" t="s">
        <v>8</v>
      </c>
      <c r="D23" t="s">
        <v>40</v>
      </c>
      <c r="E23" s="39">
        <v>61.31</v>
      </c>
      <c r="F23" s="40">
        <v>3.81</v>
      </c>
      <c r="G23" s="40">
        <v>13.18</v>
      </c>
      <c r="H23" s="40">
        <v>0</v>
      </c>
      <c r="I23" s="23">
        <v>70.540000000000006</v>
      </c>
      <c r="J23" s="23">
        <v>5.04</v>
      </c>
      <c r="K23" s="23">
        <v>7.5</v>
      </c>
      <c r="L23" s="23">
        <v>0</v>
      </c>
      <c r="M23" s="50"/>
    </row>
    <row r="24" spans="1:13" ht="15.75" thickBot="1" x14ac:dyDescent="0.3">
      <c r="A24">
        <v>9</v>
      </c>
      <c r="B24" t="s">
        <v>57</v>
      </c>
      <c r="C24" t="s">
        <v>12</v>
      </c>
      <c r="D24" t="s">
        <v>39</v>
      </c>
      <c r="E24" s="39">
        <v>49.47</v>
      </c>
      <c r="F24" s="40">
        <v>4.4400000000000004</v>
      </c>
      <c r="G24" s="40">
        <v>20.91</v>
      </c>
      <c r="H24" s="40">
        <v>0</v>
      </c>
      <c r="I24" s="23">
        <v>58.53</v>
      </c>
      <c r="J24" s="23">
        <v>6.2</v>
      </c>
      <c r="K24" s="23">
        <v>15</v>
      </c>
      <c r="L24" s="23">
        <v>0</v>
      </c>
      <c r="M24" s="50"/>
    </row>
    <row r="25" spans="1:13" ht="15.75" thickBot="1" x14ac:dyDescent="0.3">
      <c r="A25">
        <v>10</v>
      </c>
      <c r="B25" t="s">
        <v>57</v>
      </c>
      <c r="C25" t="s">
        <v>12</v>
      </c>
      <c r="D25" t="s">
        <v>40</v>
      </c>
      <c r="E25" s="39">
        <v>49.05</v>
      </c>
      <c r="F25" s="40">
        <v>3.59</v>
      </c>
      <c r="G25" s="40">
        <v>18.64</v>
      </c>
      <c r="H25" s="40">
        <v>0</v>
      </c>
      <c r="I25" s="23">
        <v>58.53</v>
      </c>
      <c r="J25" s="23">
        <v>4.6500000000000004</v>
      </c>
      <c r="K25" s="23">
        <v>12.5</v>
      </c>
      <c r="L25" s="23">
        <v>0</v>
      </c>
      <c r="M25" s="50"/>
    </row>
    <row r="26" spans="1:13" ht="15.75" thickBot="1" x14ac:dyDescent="0.3">
      <c r="A26">
        <v>11</v>
      </c>
      <c r="B26" t="s">
        <v>80</v>
      </c>
      <c r="C26" t="s">
        <v>8</v>
      </c>
      <c r="D26" t="s">
        <v>39</v>
      </c>
      <c r="E26" s="39">
        <v>73.78</v>
      </c>
      <c r="F26" s="40">
        <v>13.11</v>
      </c>
      <c r="G26" s="40">
        <v>13.18</v>
      </c>
      <c r="H26" s="40">
        <v>0</v>
      </c>
      <c r="I26" s="23">
        <v>84.11</v>
      </c>
      <c r="J26" s="23">
        <v>19.38</v>
      </c>
      <c r="K26" s="23">
        <v>10.83</v>
      </c>
      <c r="L26" s="23">
        <v>0</v>
      </c>
      <c r="M26" s="49">
        <v>1.2</v>
      </c>
    </row>
    <row r="27" spans="1:13" ht="15.75" thickBot="1" x14ac:dyDescent="0.3">
      <c r="A27">
        <v>12</v>
      </c>
      <c r="B27" t="s">
        <v>80</v>
      </c>
      <c r="C27" t="s">
        <v>8</v>
      </c>
      <c r="D27" t="s">
        <v>40</v>
      </c>
      <c r="E27" s="39">
        <v>71.040000000000006</v>
      </c>
      <c r="F27" s="40">
        <v>9.09</v>
      </c>
      <c r="G27" s="40">
        <v>11.82</v>
      </c>
      <c r="H27" s="40">
        <v>0</v>
      </c>
      <c r="I27" s="23">
        <v>82.17</v>
      </c>
      <c r="J27" s="23">
        <v>13.18</v>
      </c>
      <c r="K27" s="23">
        <v>9.17</v>
      </c>
      <c r="L27" s="23">
        <v>0</v>
      </c>
      <c r="M27" s="50"/>
    </row>
    <row r="28" spans="1:13" ht="15.75" thickBot="1" x14ac:dyDescent="0.3">
      <c r="A28">
        <v>13</v>
      </c>
      <c r="B28" t="s">
        <v>80</v>
      </c>
      <c r="C28" t="s">
        <v>12</v>
      </c>
      <c r="D28" t="s">
        <v>39</v>
      </c>
      <c r="E28" s="39">
        <v>56.24</v>
      </c>
      <c r="F28" s="40">
        <v>4.0199999999999996</v>
      </c>
      <c r="G28" s="40">
        <v>18.64</v>
      </c>
      <c r="H28" s="40">
        <v>0</v>
      </c>
      <c r="I28" s="23">
        <v>65.12</v>
      </c>
      <c r="J28" s="23">
        <v>6.2</v>
      </c>
      <c r="K28" s="23">
        <v>15</v>
      </c>
      <c r="L28" s="23">
        <v>0</v>
      </c>
      <c r="M28" s="50"/>
    </row>
    <row r="29" spans="1:13" ht="15.75" thickBot="1" x14ac:dyDescent="0.3">
      <c r="A29">
        <v>14</v>
      </c>
      <c r="B29" t="s">
        <v>80</v>
      </c>
      <c r="C29" t="s">
        <v>12</v>
      </c>
      <c r="D29" t="s">
        <v>40</v>
      </c>
      <c r="E29" s="39">
        <v>52.01</v>
      </c>
      <c r="F29" s="40">
        <v>2.54</v>
      </c>
      <c r="G29" s="40">
        <v>16.36</v>
      </c>
      <c r="H29" s="40">
        <v>0</v>
      </c>
      <c r="I29" s="23">
        <v>59.3</v>
      </c>
      <c r="J29" s="23">
        <v>3.49</v>
      </c>
      <c r="K29" s="23">
        <v>12.5</v>
      </c>
      <c r="L29" s="23">
        <v>0</v>
      </c>
      <c r="M29" s="50"/>
    </row>
    <row r="30" spans="1:13" ht="15.75" thickBot="1" x14ac:dyDescent="0.3">
      <c r="A30">
        <v>15</v>
      </c>
      <c r="B30" t="s">
        <v>102</v>
      </c>
      <c r="C30" t="s">
        <v>8</v>
      </c>
      <c r="D30" t="s">
        <v>39</v>
      </c>
      <c r="E30" s="39">
        <v>74</v>
      </c>
      <c r="F30" s="40">
        <v>14.59</v>
      </c>
      <c r="G30" s="40">
        <v>15</v>
      </c>
      <c r="H30" s="40">
        <v>0</v>
      </c>
      <c r="I30" s="23">
        <v>85.27</v>
      </c>
      <c r="J30" s="23">
        <v>22.09</v>
      </c>
      <c r="K30" s="23">
        <v>11.67</v>
      </c>
      <c r="L30" s="23">
        <v>0</v>
      </c>
      <c r="M30" s="50"/>
    </row>
    <row r="31" spans="1:13" ht="15.75" thickBot="1" x14ac:dyDescent="0.3">
      <c r="A31">
        <v>16</v>
      </c>
      <c r="B31" t="s">
        <v>102</v>
      </c>
      <c r="C31" t="s">
        <v>8</v>
      </c>
      <c r="D31" t="s">
        <v>40</v>
      </c>
      <c r="E31" s="39">
        <v>73.36</v>
      </c>
      <c r="F31" s="40">
        <v>13.95</v>
      </c>
      <c r="G31" s="40">
        <v>13.64</v>
      </c>
      <c r="H31" s="40">
        <v>0</v>
      </c>
      <c r="I31" s="23">
        <v>84.88</v>
      </c>
      <c r="J31" s="23">
        <v>21.71</v>
      </c>
      <c r="K31" s="23">
        <v>10</v>
      </c>
      <c r="L31" s="23">
        <v>0</v>
      </c>
      <c r="M31" s="50"/>
    </row>
    <row r="32" spans="1:13" ht="15.75" thickBot="1" x14ac:dyDescent="0.3">
      <c r="A32">
        <v>17</v>
      </c>
      <c r="B32" t="s">
        <v>102</v>
      </c>
      <c r="C32" t="s">
        <v>12</v>
      </c>
      <c r="D32" t="s">
        <v>39</v>
      </c>
      <c r="E32" s="39">
        <v>55.18</v>
      </c>
      <c r="F32" s="40">
        <v>5.5</v>
      </c>
      <c r="G32" s="40">
        <v>16.36</v>
      </c>
      <c r="H32" s="40">
        <v>0</v>
      </c>
      <c r="I32" s="23">
        <v>65.12</v>
      </c>
      <c r="J32" s="23">
        <v>7.75</v>
      </c>
      <c r="K32" s="23">
        <v>12.5</v>
      </c>
      <c r="L32" s="23">
        <v>0</v>
      </c>
      <c r="M32" s="50"/>
    </row>
    <row r="33" spans="1:13" ht="15.75" thickBot="1" x14ac:dyDescent="0.3">
      <c r="A33">
        <v>18</v>
      </c>
      <c r="B33" t="s">
        <v>102</v>
      </c>
      <c r="C33" t="s">
        <v>12</v>
      </c>
      <c r="D33" t="s">
        <v>40</v>
      </c>
      <c r="E33" s="39">
        <v>53.49</v>
      </c>
      <c r="F33" s="40">
        <v>4.6500000000000004</v>
      </c>
      <c r="G33" s="40">
        <v>15</v>
      </c>
      <c r="H33" s="40">
        <v>0</v>
      </c>
      <c r="I33" s="23">
        <v>62.4</v>
      </c>
      <c r="J33" s="23">
        <v>6.98</v>
      </c>
      <c r="K33" s="23">
        <v>10</v>
      </c>
      <c r="L33" s="23">
        <v>0</v>
      </c>
      <c r="M33" s="50"/>
    </row>
    <row r="34" spans="1:13" s="41" customFormat="1" ht="15.75" thickBot="1" x14ac:dyDescent="0.3">
      <c r="A34" s="41">
        <v>19</v>
      </c>
      <c r="B34" s="41" t="s">
        <v>124</v>
      </c>
      <c r="C34" s="41" t="s">
        <v>8</v>
      </c>
      <c r="D34" s="41" t="s">
        <v>11</v>
      </c>
      <c r="E34" s="42">
        <v>79.7</v>
      </c>
      <c r="F34" s="43">
        <v>29.39</v>
      </c>
      <c r="G34" s="43">
        <v>11.36</v>
      </c>
      <c r="H34" s="43">
        <v>0</v>
      </c>
      <c r="I34" s="43">
        <v>91.86</v>
      </c>
      <c r="J34" s="43">
        <v>46.51</v>
      </c>
      <c r="K34" s="43">
        <v>6.67</v>
      </c>
      <c r="L34" s="43">
        <v>0</v>
      </c>
      <c r="M34" s="50"/>
    </row>
    <row r="35" spans="1:13" s="41" customFormat="1" ht="15.75" thickBot="1" x14ac:dyDescent="0.3">
      <c r="A35" s="41">
        <v>20</v>
      </c>
      <c r="B35" s="41" t="s">
        <v>124</v>
      </c>
      <c r="C35" s="41" t="s">
        <v>12</v>
      </c>
      <c r="D35" s="41" t="s">
        <v>11</v>
      </c>
      <c r="E35" s="42">
        <v>54.76</v>
      </c>
      <c r="F35" s="43">
        <v>3.59</v>
      </c>
      <c r="G35" s="43">
        <v>16.36</v>
      </c>
      <c r="H35" s="43">
        <v>0</v>
      </c>
      <c r="I35" s="43">
        <v>63.95</v>
      </c>
      <c r="J35" s="43">
        <v>5.04</v>
      </c>
      <c r="K35" s="43">
        <v>11.67</v>
      </c>
      <c r="L35" s="43">
        <v>0</v>
      </c>
      <c r="M35" s="50"/>
    </row>
    <row r="36" spans="1:13" s="41" customFormat="1" ht="15.75" thickBot="1" x14ac:dyDescent="0.3">
      <c r="A36" s="41">
        <v>21</v>
      </c>
      <c r="B36" s="41" t="s">
        <v>125</v>
      </c>
      <c r="C36" s="41" t="s">
        <v>8</v>
      </c>
      <c r="D36" s="41" t="s">
        <v>11</v>
      </c>
      <c r="E36" s="42">
        <v>77.38</v>
      </c>
      <c r="F36" s="43">
        <v>22.2</v>
      </c>
      <c r="G36" s="43">
        <v>15.91</v>
      </c>
      <c r="H36" s="43">
        <v>0</v>
      </c>
      <c r="I36" s="43">
        <v>89.53</v>
      </c>
      <c r="J36" s="43">
        <v>36.82</v>
      </c>
      <c r="K36" s="43">
        <v>9.17</v>
      </c>
      <c r="L36" s="43">
        <v>0</v>
      </c>
      <c r="M36" s="51">
        <v>1.3</v>
      </c>
    </row>
    <row r="37" spans="1:13" s="41" customFormat="1" ht="15.75" thickBot="1" x14ac:dyDescent="0.3">
      <c r="A37" s="41">
        <v>22</v>
      </c>
      <c r="B37" s="41" t="s">
        <v>125</v>
      </c>
      <c r="C37" s="41" t="s">
        <v>12</v>
      </c>
      <c r="D37" s="41" t="s">
        <v>11</v>
      </c>
      <c r="E37" s="42">
        <v>62.37</v>
      </c>
      <c r="F37" s="43">
        <v>6.77</v>
      </c>
      <c r="G37" s="43">
        <v>16.36</v>
      </c>
      <c r="H37" s="43">
        <v>0</v>
      </c>
      <c r="I37" s="43">
        <v>74.03</v>
      </c>
      <c r="J37" s="43">
        <v>10.85</v>
      </c>
      <c r="K37" s="43">
        <v>10</v>
      </c>
      <c r="L37" s="43">
        <v>0</v>
      </c>
      <c r="M37" s="51"/>
    </row>
    <row r="38" spans="1:13" s="41" customFormat="1" ht="15.75" thickBot="1" x14ac:dyDescent="0.3">
      <c r="A38" s="41">
        <v>23</v>
      </c>
      <c r="B38" s="41" t="s">
        <v>126</v>
      </c>
      <c r="C38" s="41" t="s">
        <v>8</v>
      </c>
      <c r="D38" s="41" t="s">
        <v>11</v>
      </c>
      <c r="E38" s="42">
        <v>81.819999999999993</v>
      </c>
      <c r="F38" s="43">
        <v>28.54</v>
      </c>
      <c r="G38" s="43">
        <v>12.27</v>
      </c>
      <c r="H38" s="43">
        <v>0</v>
      </c>
      <c r="I38" s="43">
        <v>93.02</v>
      </c>
      <c r="J38" s="43">
        <v>44.57</v>
      </c>
      <c r="K38" s="43">
        <v>8.33</v>
      </c>
      <c r="L38" s="43">
        <v>0</v>
      </c>
      <c r="M38" s="51"/>
    </row>
    <row r="39" spans="1:13" s="41" customFormat="1" ht="15.75" thickBot="1" x14ac:dyDescent="0.3">
      <c r="A39" s="41">
        <v>24</v>
      </c>
      <c r="B39" s="41" t="s">
        <v>126</v>
      </c>
      <c r="C39" s="41" t="s">
        <v>12</v>
      </c>
      <c r="D39" s="41" t="s">
        <v>11</v>
      </c>
      <c r="E39" s="42">
        <v>60.68</v>
      </c>
      <c r="F39" s="43">
        <v>7.19</v>
      </c>
      <c r="G39" s="43">
        <v>15.45</v>
      </c>
      <c r="H39" s="43">
        <v>0</v>
      </c>
      <c r="I39" s="43">
        <v>73.64</v>
      </c>
      <c r="J39" s="43">
        <v>10.85</v>
      </c>
      <c r="K39" s="43">
        <v>10.83</v>
      </c>
      <c r="L39" s="43">
        <v>0</v>
      </c>
      <c r="M39" s="51"/>
    </row>
  </sheetData>
  <mergeCells count="12">
    <mergeCell ref="E12:H12"/>
    <mergeCell ref="E14:F14"/>
    <mergeCell ref="G14:H14"/>
    <mergeCell ref="E13:H13"/>
    <mergeCell ref="I13:L13"/>
    <mergeCell ref="I14:J14"/>
    <mergeCell ref="K14:L14"/>
    <mergeCell ref="M22:M25"/>
    <mergeCell ref="M26:M35"/>
    <mergeCell ref="M36:M39"/>
    <mergeCell ref="M16:M17"/>
    <mergeCell ref="M18:M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2527-5B74-440D-93D0-E22F61629922}">
  <dimension ref="B1:G19"/>
  <sheetViews>
    <sheetView workbookViewId="0"/>
  </sheetViews>
  <sheetFormatPr defaultRowHeight="15" x14ac:dyDescent="0.25"/>
  <cols>
    <col min="3" max="3" width="16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26">
        <v>1</v>
      </c>
      <c r="C5" s="26" t="s">
        <v>19</v>
      </c>
      <c r="D5" s="27">
        <v>93.023255813953497</v>
      </c>
      <c r="E5" s="27">
        <v>53.488372093023301</v>
      </c>
      <c r="F5" s="27">
        <v>5</v>
      </c>
      <c r="G5" s="27">
        <v>0</v>
      </c>
    </row>
    <row r="6" spans="2:7" ht="15.75" thickBot="1" x14ac:dyDescent="0.3">
      <c r="B6" s="26">
        <v>2</v>
      </c>
      <c r="C6" s="26" t="s">
        <v>168</v>
      </c>
      <c r="D6" s="27">
        <v>100</v>
      </c>
      <c r="E6" s="27">
        <v>86.046511627906995</v>
      </c>
      <c r="F6" s="27">
        <v>5</v>
      </c>
      <c r="G6" s="27">
        <v>0</v>
      </c>
    </row>
    <row r="7" spans="2:7" ht="15.75" thickBot="1" x14ac:dyDescent="0.3">
      <c r="B7" s="28">
        <v>3</v>
      </c>
      <c r="C7" s="28" t="s">
        <v>169</v>
      </c>
      <c r="D7" s="29">
        <v>100</v>
      </c>
      <c r="E7" s="29">
        <v>88.3720930232558</v>
      </c>
      <c r="F7" s="29">
        <v>5</v>
      </c>
      <c r="G7" s="29">
        <v>0</v>
      </c>
    </row>
    <row r="8" spans="2:7" ht="15.75" thickBot="1" x14ac:dyDescent="0.3">
      <c r="B8" s="26">
        <v>4</v>
      </c>
      <c r="C8" s="26" t="s">
        <v>170</v>
      </c>
      <c r="D8" s="27">
        <v>95.348837209302303</v>
      </c>
      <c r="E8" s="27">
        <v>20.930232558139501</v>
      </c>
      <c r="F8" s="27">
        <v>10</v>
      </c>
      <c r="G8" s="27">
        <v>0</v>
      </c>
    </row>
    <row r="9" spans="2:7" ht="15.75" thickBot="1" x14ac:dyDescent="0.3">
      <c r="B9" s="30">
        <v>5</v>
      </c>
      <c r="C9" s="30" t="s">
        <v>83</v>
      </c>
      <c r="D9" s="31">
        <v>97.674418604651194</v>
      </c>
      <c r="E9" s="31">
        <v>48.837209302325597</v>
      </c>
      <c r="F9" s="31">
        <v>10</v>
      </c>
      <c r="G9" s="31">
        <v>0</v>
      </c>
    </row>
    <row r="10" spans="2:7" ht="15.75" thickBot="1" x14ac:dyDescent="0.3">
      <c r="B10" s="26">
        <v>6</v>
      </c>
      <c r="C10" s="26" t="s">
        <v>73</v>
      </c>
      <c r="D10" s="27">
        <v>86.046511627906995</v>
      </c>
      <c r="E10" s="27">
        <v>30.232558139534898</v>
      </c>
      <c r="F10" s="27">
        <v>10</v>
      </c>
      <c r="G10" s="27">
        <v>0</v>
      </c>
    </row>
    <row r="11" spans="2:7" ht="15.75" thickBot="1" x14ac:dyDescent="0.3">
      <c r="B11" s="26">
        <v>7</v>
      </c>
      <c r="C11" s="26" t="s">
        <v>145</v>
      </c>
      <c r="D11" s="27">
        <v>83.720930232558104</v>
      </c>
      <c r="E11" s="27">
        <v>30.232558139534898</v>
      </c>
      <c r="F11" s="27">
        <v>10</v>
      </c>
      <c r="G11" s="27">
        <v>0</v>
      </c>
    </row>
    <row r="12" spans="2:7" ht="15.75" thickBot="1" x14ac:dyDescent="0.3">
      <c r="B12" s="26">
        <v>8</v>
      </c>
      <c r="C12" s="26" t="s">
        <v>159</v>
      </c>
      <c r="D12" s="27">
        <v>81.395348837209298</v>
      </c>
      <c r="E12" s="27">
        <v>18.604651162790699</v>
      </c>
      <c r="F12" s="27">
        <v>10</v>
      </c>
      <c r="G12" s="27">
        <v>0</v>
      </c>
    </row>
    <row r="13" spans="2:7" ht="15.75" thickBot="1" x14ac:dyDescent="0.3">
      <c r="B13" s="26">
        <v>10</v>
      </c>
      <c r="C13" s="26" t="s">
        <v>75</v>
      </c>
      <c r="D13" s="27">
        <v>62.790697674418603</v>
      </c>
      <c r="E13" s="27">
        <v>4.6511627906976702</v>
      </c>
      <c r="F13" s="27">
        <v>15</v>
      </c>
      <c r="G13" s="27">
        <v>0</v>
      </c>
    </row>
    <row r="14" spans="2:7" ht="15.75" thickBot="1" x14ac:dyDescent="0.3">
      <c r="B14" s="26">
        <v>12</v>
      </c>
      <c r="C14" s="26" t="s">
        <v>49</v>
      </c>
      <c r="D14" s="27">
        <v>53.488372093023301</v>
      </c>
      <c r="E14" s="27">
        <v>2.32558139534884</v>
      </c>
      <c r="F14" s="27">
        <v>15</v>
      </c>
      <c r="G14" s="27">
        <v>0</v>
      </c>
    </row>
    <row r="15" spans="2:7" ht="15.75" thickBot="1" x14ac:dyDescent="0.3">
      <c r="B15" s="26">
        <v>14</v>
      </c>
      <c r="C15" s="26" t="s">
        <v>171</v>
      </c>
      <c r="D15" s="27">
        <v>34.883720930232599</v>
      </c>
      <c r="E15" s="27">
        <v>2.32558139534884</v>
      </c>
      <c r="F15" s="27">
        <v>30</v>
      </c>
      <c r="G15" s="27">
        <v>0</v>
      </c>
    </row>
    <row r="16" spans="2:7" ht="15.75" thickBot="1" x14ac:dyDescent="0.3">
      <c r="B16" s="24"/>
      <c r="C16" s="30" t="s">
        <v>33</v>
      </c>
      <c r="D16" s="31">
        <f>AVERAGE(D5:D8,D10,D12)</f>
        <v>92.635658914728694</v>
      </c>
      <c r="E16" s="31">
        <f t="shared" ref="E16:G16" si="0">AVERAGE(E5:E8,E10,E12)</f>
        <v>49.61240310077519</v>
      </c>
      <c r="F16" s="31">
        <f t="shared" si="0"/>
        <v>7.5</v>
      </c>
      <c r="G16" s="31">
        <f t="shared" si="0"/>
        <v>0</v>
      </c>
    </row>
    <row r="17" spans="2:7" ht="15.75" thickBot="1" x14ac:dyDescent="0.3">
      <c r="B17" s="25"/>
      <c r="C17" s="28" t="s">
        <v>34</v>
      </c>
      <c r="D17" s="29">
        <f>AVERAGE(D5:D15)</f>
        <v>80.761099365750525</v>
      </c>
      <c r="E17" s="29">
        <f t="shared" ref="E17:G17" si="1">AVERAGE(E5:E15)</f>
        <v>35.095137420718814</v>
      </c>
      <c r="F17" s="29">
        <f t="shared" si="1"/>
        <v>11.363636363636363</v>
      </c>
      <c r="G17" s="29">
        <f t="shared" si="1"/>
        <v>0</v>
      </c>
    </row>
    <row r="19" spans="2:7" ht="15.75" x14ac:dyDescent="0.25">
      <c r="B19" s="20" t="s">
        <v>172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572E-398E-4C08-BCE4-9026F8C94AFA}">
  <dimension ref="B1:G19"/>
  <sheetViews>
    <sheetView workbookViewId="0">
      <selection activeCell="J12" sqref="J12"/>
    </sheetView>
  </sheetViews>
  <sheetFormatPr defaultRowHeight="15" x14ac:dyDescent="0.25"/>
  <cols>
    <col min="3" max="3" width="11.57031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x14ac:dyDescent="0.25">
      <c r="B5" s="34">
        <v>1</v>
      </c>
      <c r="C5" s="34" t="s">
        <v>69</v>
      </c>
      <c r="D5" s="35">
        <v>60.465116279069797</v>
      </c>
      <c r="E5" s="35">
        <v>4.6511627906976702</v>
      </c>
      <c r="F5" s="35">
        <v>10</v>
      </c>
      <c r="G5" s="35">
        <v>0</v>
      </c>
    </row>
    <row r="6" spans="2:7" x14ac:dyDescent="0.25">
      <c r="B6" s="36">
        <v>2</v>
      </c>
      <c r="C6" s="36" t="s">
        <v>173</v>
      </c>
      <c r="D6" s="37">
        <v>97.674418604651194</v>
      </c>
      <c r="E6" s="37">
        <v>37.209302325581397</v>
      </c>
      <c r="F6" s="37">
        <v>5</v>
      </c>
      <c r="G6" s="37">
        <v>0</v>
      </c>
    </row>
    <row r="7" spans="2:7" x14ac:dyDescent="0.25">
      <c r="B7" s="34">
        <v>3</v>
      </c>
      <c r="C7" s="34" t="s">
        <v>174</v>
      </c>
      <c r="D7" s="35">
        <v>76.744186046511601</v>
      </c>
      <c r="E7" s="35">
        <v>2.32558139534884</v>
      </c>
      <c r="F7" s="35">
        <v>10</v>
      </c>
      <c r="G7" s="35">
        <v>0</v>
      </c>
    </row>
    <row r="8" spans="2:7" x14ac:dyDescent="0.25">
      <c r="B8" s="34">
        <v>4</v>
      </c>
      <c r="C8" s="34" t="s">
        <v>175</v>
      </c>
      <c r="D8" s="35">
        <v>58.139534883720899</v>
      </c>
      <c r="E8" s="35">
        <v>6.9767441860465098</v>
      </c>
      <c r="F8" s="35">
        <v>10</v>
      </c>
      <c r="G8" s="35">
        <v>0</v>
      </c>
    </row>
    <row r="9" spans="2:7" s="44" customFormat="1" x14ac:dyDescent="0.25">
      <c r="B9" s="47">
        <v>5</v>
      </c>
      <c r="C9" s="47" t="s">
        <v>176</v>
      </c>
      <c r="D9" s="48">
        <v>44.1860465116279</v>
      </c>
      <c r="E9" s="48">
        <v>2.32558139534884</v>
      </c>
      <c r="F9" s="48">
        <v>30</v>
      </c>
      <c r="G9" s="48">
        <v>0</v>
      </c>
    </row>
    <row r="10" spans="2:7" x14ac:dyDescent="0.25">
      <c r="B10" s="34">
        <v>6</v>
      </c>
      <c r="C10" s="34" t="s">
        <v>45</v>
      </c>
      <c r="D10" s="35">
        <v>39.534883720930203</v>
      </c>
      <c r="E10" s="35">
        <v>2.32558139534884</v>
      </c>
      <c r="F10" s="35">
        <v>30</v>
      </c>
      <c r="G10" s="35">
        <v>0</v>
      </c>
    </row>
    <row r="11" spans="2:7" x14ac:dyDescent="0.25">
      <c r="B11" s="34">
        <v>7</v>
      </c>
      <c r="C11" s="34" t="s">
        <v>177</v>
      </c>
      <c r="D11" s="35">
        <v>39.534883720930203</v>
      </c>
      <c r="E11" s="35">
        <v>2.32558139534884</v>
      </c>
      <c r="F11" s="35">
        <v>25</v>
      </c>
      <c r="G11" s="35">
        <v>0</v>
      </c>
    </row>
    <row r="12" spans="2:7" x14ac:dyDescent="0.25">
      <c r="B12" s="34">
        <v>8</v>
      </c>
      <c r="C12" s="34" t="s">
        <v>141</v>
      </c>
      <c r="D12" s="35">
        <v>37.209302325581397</v>
      </c>
      <c r="E12" s="35">
        <v>2.32558139534884</v>
      </c>
      <c r="F12" s="35">
        <v>30</v>
      </c>
      <c r="G12" s="35">
        <v>0</v>
      </c>
    </row>
    <row r="13" spans="2:7" x14ac:dyDescent="0.25">
      <c r="B13" s="34">
        <v>10</v>
      </c>
      <c r="C13" s="34" t="s">
        <v>65</v>
      </c>
      <c r="D13" s="35">
        <v>37.209302325581397</v>
      </c>
      <c r="E13" s="35">
        <v>2.32558139534884</v>
      </c>
      <c r="F13" s="35">
        <v>30</v>
      </c>
      <c r="G13" s="35">
        <v>0</v>
      </c>
    </row>
    <row r="14" spans="2:7" x14ac:dyDescent="0.25">
      <c r="B14" s="34">
        <v>12</v>
      </c>
      <c r="C14" s="34" t="s">
        <v>76</v>
      </c>
      <c r="D14" s="35">
        <v>30.232558139534898</v>
      </c>
      <c r="E14" s="35">
        <v>2.32558139534884</v>
      </c>
      <c r="F14" s="35">
        <v>30</v>
      </c>
      <c r="G14" s="35">
        <v>0</v>
      </c>
    </row>
    <row r="15" spans="2:7" ht="15.75" thickBot="1" x14ac:dyDescent="0.3">
      <c r="B15" s="34">
        <v>14</v>
      </c>
      <c r="C15" s="34" t="s">
        <v>32</v>
      </c>
      <c r="D15" s="35">
        <v>32.558139534883701</v>
      </c>
      <c r="E15" s="35">
        <v>2.32558139534884</v>
      </c>
      <c r="F15" s="35">
        <v>30</v>
      </c>
      <c r="G15" s="35">
        <v>0</v>
      </c>
    </row>
    <row r="16" spans="2:7" ht="15.75" thickBot="1" x14ac:dyDescent="0.3">
      <c r="B16" s="24"/>
      <c r="C16" s="30" t="s">
        <v>33</v>
      </c>
      <c r="D16" s="31">
        <f>AVERAGE(D5:D8,D10,D12)</f>
        <v>61.627906976744185</v>
      </c>
      <c r="E16" s="31">
        <f t="shared" ref="E16:G16" si="0">AVERAGE(E5:E8,E10,E12)</f>
        <v>9.3023255813953494</v>
      </c>
      <c r="F16" s="31">
        <f t="shared" si="0"/>
        <v>15.833333333333334</v>
      </c>
      <c r="G16" s="31">
        <f t="shared" si="0"/>
        <v>0</v>
      </c>
    </row>
    <row r="17" spans="2:7" ht="15.75" thickBot="1" x14ac:dyDescent="0.3">
      <c r="B17" s="25"/>
      <c r="C17" s="28" t="s">
        <v>34</v>
      </c>
      <c r="D17" s="29">
        <f>AVERAGE(D5:D15)</f>
        <v>50.317124735729386</v>
      </c>
      <c r="E17" s="29">
        <f t="shared" ref="E17:G17" si="1">AVERAGE(E5:E15)</f>
        <v>6.131078224101481</v>
      </c>
      <c r="F17" s="29">
        <f t="shared" si="1"/>
        <v>21.818181818181817</v>
      </c>
      <c r="G17" s="29">
        <f t="shared" si="1"/>
        <v>0</v>
      </c>
    </row>
    <row r="19" spans="2:7" ht="15.75" x14ac:dyDescent="0.25">
      <c r="B19" s="20" t="s">
        <v>178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9"/>
  <sheetViews>
    <sheetView workbookViewId="0">
      <selection activeCell="B7" sqref="B7:G7"/>
    </sheetView>
  </sheetViews>
  <sheetFormatPr defaultRowHeight="15" x14ac:dyDescent="0.25"/>
  <cols>
    <col min="3" max="3" width="18.425781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22</v>
      </c>
      <c r="D5" s="3">
        <v>83.72</v>
      </c>
      <c r="E5" s="3">
        <v>25.58</v>
      </c>
      <c r="F5" s="3">
        <v>5</v>
      </c>
      <c r="G5" s="3">
        <v>0</v>
      </c>
    </row>
    <row r="6" spans="2:7" ht="15.75" thickBot="1" x14ac:dyDescent="0.3">
      <c r="B6" s="9">
        <v>2</v>
      </c>
      <c r="C6" s="2" t="s">
        <v>23</v>
      </c>
      <c r="D6" s="2">
        <v>90.7</v>
      </c>
      <c r="E6" s="2">
        <v>18.600000000000001</v>
      </c>
      <c r="F6" s="2">
        <v>5</v>
      </c>
      <c r="G6" s="2">
        <v>0</v>
      </c>
    </row>
    <row r="7" spans="2:7" ht="15.75" thickBot="1" x14ac:dyDescent="0.3">
      <c r="B7" s="11">
        <v>3</v>
      </c>
      <c r="C7" s="4" t="s">
        <v>24</v>
      </c>
      <c r="D7" s="4">
        <v>90.7</v>
      </c>
      <c r="E7" s="4">
        <v>16.28</v>
      </c>
      <c r="F7" s="4">
        <v>10</v>
      </c>
      <c r="G7" s="4">
        <v>0</v>
      </c>
    </row>
    <row r="8" spans="2:7" s="44" customFormat="1" ht="15.75" thickBot="1" x14ac:dyDescent="0.3">
      <c r="B8" s="45">
        <v>4</v>
      </c>
      <c r="C8" s="46" t="s">
        <v>25</v>
      </c>
      <c r="D8" s="46">
        <v>76.739999999999995</v>
      </c>
      <c r="E8" s="46">
        <v>6.98</v>
      </c>
      <c r="F8" s="46">
        <v>20</v>
      </c>
      <c r="G8" s="46">
        <v>0</v>
      </c>
    </row>
    <row r="9" spans="2:7" ht="15.75" thickBot="1" x14ac:dyDescent="0.3">
      <c r="B9" s="9">
        <v>5</v>
      </c>
      <c r="C9" s="2" t="s">
        <v>26</v>
      </c>
      <c r="D9" s="2">
        <v>69.77</v>
      </c>
      <c r="E9" s="2">
        <v>2.33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27</v>
      </c>
      <c r="D10" s="2">
        <v>53.49</v>
      </c>
      <c r="E10" s="2">
        <v>4.6500000000000004</v>
      </c>
      <c r="F10" s="2">
        <v>25</v>
      </c>
      <c r="G10" s="2">
        <v>0</v>
      </c>
    </row>
    <row r="11" spans="2:7" ht="15.75" thickBot="1" x14ac:dyDescent="0.3">
      <c r="B11" s="9">
        <v>7</v>
      </c>
      <c r="C11" s="2" t="s">
        <v>28</v>
      </c>
      <c r="D11" s="2">
        <v>51.16</v>
      </c>
      <c r="E11" s="2">
        <v>4.6500000000000004</v>
      </c>
      <c r="F11" s="2">
        <v>30</v>
      </c>
      <c r="G11" s="2">
        <v>0</v>
      </c>
    </row>
    <row r="12" spans="2:7" ht="15.75" thickBot="1" x14ac:dyDescent="0.3">
      <c r="B12" s="9">
        <v>8</v>
      </c>
      <c r="C12" s="2" t="s">
        <v>29</v>
      </c>
      <c r="D12" s="2">
        <v>41.86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30</v>
      </c>
      <c r="D13" s="2">
        <v>44.19</v>
      </c>
      <c r="E13" s="2">
        <v>2.33</v>
      </c>
      <c r="F13" s="2">
        <v>25</v>
      </c>
      <c r="G13" s="2">
        <v>0</v>
      </c>
    </row>
    <row r="14" spans="2:7" ht="15.75" thickBot="1" x14ac:dyDescent="0.3">
      <c r="B14" s="9">
        <v>12</v>
      </c>
      <c r="C14" s="2" t="s">
        <v>31</v>
      </c>
      <c r="D14" s="2">
        <v>37.21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32</v>
      </c>
      <c r="D15" s="2">
        <v>39.53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72.87</v>
      </c>
      <c r="E16" s="16">
        <v>12.4</v>
      </c>
      <c r="F16" s="16">
        <v>15</v>
      </c>
      <c r="G16" s="16">
        <v>0</v>
      </c>
    </row>
    <row r="17" spans="2:7" ht="15.75" thickBot="1" x14ac:dyDescent="0.3">
      <c r="B17" s="17"/>
      <c r="C17" s="18" t="s">
        <v>34</v>
      </c>
      <c r="D17" s="19">
        <v>61.73</v>
      </c>
      <c r="E17" s="19">
        <v>8.0299999999999994</v>
      </c>
      <c r="F17" s="19">
        <v>20</v>
      </c>
      <c r="G17" s="19">
        <v>0</v>
      </c>
    </row>
    <row r="19" spans="2:7" ht="15.75" x14ac:dyDescent="0.25">
      <c r="B19" s="20" t="s">
        <v>35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9"/>
  <sheetViews>
    <sheetView workbookViewId="0">
      <selection activeCell="B7" sqref="B7:G7"/>
    </sheetView>
  </sheetViews>
  <sheetFormatPr defaultRowHeight="15" x14ac:dyDescent="0.25"/>
  <cols>
    <col min="3" max="3" width="20.425781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22</v>
      </c>
      <c r="D5" s="3">
        <v>83.72</v>
      </c>
      <c r="E5" s="3">
        <v>25.58</v>
      </c>
      <c r="F5" s="3">
        <v>5</v>
      </c>
      <c r="G5" s="3">
        <v>0</v>
      </c>
    </row>
    <row r="6" spans="2:7" ht="15.75" thickBot="1" x14ac:dyDescent="0.3">
      <c r="B6" s="9">
        <v>2</v>
      </c>
      <c r="C6" s="2" t="s">
        <v>23</v>
      </c>
      <c r="D6" s="2">
        <v>90.7</v>
      </c>
      <c r="E6" s="2">
        <v>16.28</v>
      </c>
      <c r="F6" s="2">
        <v>5</v>
      </c>
      <c r="G6" s="2">
        <v>0</v>
      </c>
    </row>
    <row r="7" spans="2:7" ht="15.75" thickBot="1" x14ac:dyDescent="0.3">
      <c r="B7" s="11">
        <v>3</v>
      </c>
      <c r="C7" s="4" t="s">
        <v>24</v>
      </c>
      <c r="D7" s="4">
        <v>90.7</v>
      </c>
      <c r="E7" s="4">
        <v>16.28</v>
      </c>
      <c r="F7" s="4">
        <v>10</v>
      </c>
      <c r="G7" s="4">
        <v>0</v>
      </c>
    </row>
    <row r="8" spans="2:7" s="44" customFormat="1" ht="15.75" thickBot="1" x14ac:dyDescent="0.3">
      <c r="B8" s="45">
        <v>4</v>
      </c>
      <c r="C8" s="46" t="s">
        <v>25</v>
      </c>
      <c r="D8" s="46">
        <v>76.739999999999995</v>
      </c>
      <c r="E8" s="46">
        <v>6.98</v>
      </c>
      <c r="F8" s="46">
        <v>20</v>
      </c>
      <c r="G8" s="46">
        <v>0</v>
      </c>
    </row>
    <row r="9" spans="2:7" ht="15.75" thickBot="1" x14ac:dyDescent="0.3">
      <c r="B9" s="9">
        <v>5</v>
      </c>
      <c r="C9" s="2" t="s">
        <v>26</v>
      </c>
      <c r="D9" s="2">
        <v>69.77</v>
      </c>
      <c r="E9" s="2">
        <v>2.33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27</v>
      </c>
      <c r="D10" s="2">
        <v>53.49</v>
      </c>
      <c r="E10" s="2">
        <v>4.6500000000000004</v>
      </c>
      <c r="F10" s="2">
        <v>25</v>
      </c>
      <c r="G10" s="2">
        <v>0</v>
      </c>
    </row>
    <row r="11" spans="2:7" ht="15.75" thickBot="1" x14ac:dyDescent="0.3">
      <c r="B11" s="9">
        <v>7</v>
      </c>
      <c r="C11" s="2" t="s">
        <v>28</v>
      </c>
      <c r="D11" s="2">
        <v>48.84</v>
      </c>
      <c r="E11" s="2">
        <v>4.6500000000000004</v>
      </c>
      <c r="F11" s="2">
        <v>30</v>
      </c>
      <c r="G11" s="2">
        <v>0</v>
      </c>
    </row>
    <row r="12" spans="2:7" ht="15.75" thickBot="1" x14ac:dyDescent="0.3">
      <c r="B12" s="9">
        <v>8</v>
      </c>
      <c r="C12" s="2" t="s">
        <v>29</v>
      </c>
      <c r="D12" s="2">
        <v>41.86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30</v>
      </c>
      <c r="D13" s="2">
        <v>44.19</v>
      </c>
      <c r="E13" s="2">
        <v>2.33</v>
      </c>
      <c r="F13" s="2">
        <v>25</v>
      </c>
      <c r="G13" s="2">
        <v>0</v>
      </c>
    </row>
    <row r="14" spans="2:7" ht="15.75" thickBot="1" x14ac:dyDescent="0.3">
      <c r="B14" s="9">
        <v>12</v>
      </c>
      <c r="C14" s="2" t="s">
        <v>31</v>
      </c>
      <c r="D14" s="2">
        <v>37.21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32</v>
      </c>
      <c r="D15" s="2">
        <v>39.53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72.87</v>
      </c>
      <c r="E16" s="16">
        <v>12.02</v>
      </c>
      <c r="F16" s="16">
        <v>15</v>
      </c>
      <c r="G16" s="16">
        <v>0</v>
      </c>
    </row>
    <row r="17" spans="2:7" ht="15.75" thickBot="1" x14ac:dyDescent="0.3">
      <c r="B17" s="17"/>
      <c r="C17" s="18" t="s">
        <v>34</v>
      </c>
      <c r="D17" s="19">
        <v>61.52</v>
      </c>
      <c r="E17" s="19">
        <v>7.82</v>
      </c>
      <c r="F17" s="19">
        <v>20</v>
      </c>
      <c r="G17" s="19">
        <v>0</v>
      </c>
    </row>
    <row r="19" spans="2:7" ht="15.75" x14ac:dyDescent="0.25">
      <c r="B19" s="20" t="s">
        <v>41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9"/>
  <sheetViews>
    <sheetView workbookViewId="0">
      <selection activeCell="A9" sqref="A9:XFD9"/>
    </sheetView>
  </sheetViews>
  <sheetFormatPr defaultRowHeight="15" x14ac:dyDescent="0.25"/>
  <cols>
    <col min="3" max="3" width="16.710937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22</v>
      </c>
      <c r="D5" s="2">
        <v>72.09</v>
      </c>
      <c r="E5" s="2">
        <v>0</v>
      </c>
      <c r="F5" s="2">
        <v>5</v>
      </c>
      <c r="G5" s="2">
        <v>0</v>
      </c>
    </row>
    <row r="6" spans="2:7" ht="15.75" thickBot="1" x14ac:dyDescent="0.3">
      <c r="B6" s="10">
        <v>2</v>
      </c>
      <c r="C6" s="3" t="s">
        <v>42</v>
      </c>
      <c r="D6" s="3">
        <v>72.09</v>
      </c>
      <c r="E6" s="3">
        <v>9.3000000000000007</v>
      </c>
      <c r="F6" s="3">
        <v>5</v>
      </c>
      <c r="G6" s="3">
        <v>0</v>
      </c>
    </row>
    <row r="7" spans="2:7" ht="15.75" thickBot="1" x14ac:dyDescent="0.3">
      <c r="B7" s="9">
        <v>3</v>
      </c>
      <c r="C7" s="2" t="s">
        <v>43</v>
      </c>
      <c r="D7" s="2">
        <v>55.81</v>
      </c>
      <c r="E7" s="2">
        <v>2.33</v>
      </c>
      <c r="F7" s="2">
        <v>15</v>
      </c>
      <c r="G7" s="2">
        <v>0</v>
      </c>
    </row>
    <row r="8" spans="2:7" ht="15.75" thickBot="1" x14ac:dyDescent="0.3">
      <c r="B8" s="9">
        <v>4</v>
      </c>
      <c r="C8" s="2" t="s">
        <v>44</v>
      </c>
      <c r="D8" s="2">
        <v>60.47</v>
      </c>
      <c r="E8" s="2">
        <v>0</v>
      </c>
      <c r="F8" s="2">
        <v>10</v>
      </c>
      <c r="G8" s="2">
        <v>0</v>
      </c>
    </row>
    <row r="9" spans="2:7" s="44" customFormat="1" ht="15.75" thickBot="1" x14ac:dyDescent="0.3">
      <c r="B9" s="45">
        <v>5</v>
      </c>
      <c r="C9" s="46" t="s">
        <v>26</v>
      </c>
      <c r="D9" s="46">
        <v>48.84</v>
      </c>
      <c r="E9" s="46">
        <v>0</v>
      </c>
      <c r="F9" s="46">
        <v>30</v>
      </c>
      <c r="G9" s="46">
        <v>0</v>
      </c>
    </row>
    <row r="10" spans="2:7" ht="15.75" thickBot="1" x14ac:dyDescent="0.3">
      <c r="B10" s="9">
        <v>6</v>
      </c>
      <c r="C10" s="2" t="s">
        <v>45</v>
      </c>
      <c r="D10" s="2">
        <v>46.51</v>
      </c>
      <c r="E10" s="2">
        <v>4.6500000000000004</v>
      </c>
      <c r="F10" s="2">
        <v>25</v>
      </c>
      <c r="G10" s="2">
        <v>0</v>
      </c>
    </row>
    <row r="11" spans="2:7" ht="15.75" thickBot="1" x14ac:dyDescent="0.3">
      <c r="B11" s="9">
        <v>7</v>
      </c>
      <c r="C11" s="2" t="s">
        <v>46</v>
      </c>
      <c r="D11" s="2">
        <v>46.51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47</v>
      </c>
      <c r="D12" s="2">
        <v>37.21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48</v>
      </c>
      <c r="D13" s="2">
        <v>41.86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49</v>
      </c>
      <c r="D14" s="2">
        <v>34.880000000000003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50</v>
      </c>
      <c r="D15" s="2">
        <v>32.56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57.36</v>
      </c>
      <c r="E16" s="16">
        <v>3.1</v>
      </c>
      <c r="F16" s="16">
        <v>14.17</v>
      </c>
      <c r="G16" s="16">
        <v>0</v>
      </c>
    </row>
    <row r="17" spans="2:7" ht="15.75" thickBot="1" x14ac:dyDescent="0.3">
      <c r="B17" s="17"/>
      <c r="C17" s="18" t="s">
        <v>34</v>
      </c>
      <c r="D17" s="19">
        <v>49.89</v>
      </c>
      <c r="E17" s="19">
        <v>2.54</v>
      </c>
      <c r="F17" s="19">
        <v>19.09</v>
      </c>
      <c r="G17" s="19">
        <v>0</v>
      </c>
    </row>
    <row r="19" spans="2:7" ht="15.75" x14ac:dyDescent="0.25">
      <c r="B19" s="20" t="s">
        <v>51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workbookViewId="0">
      <selection activeCell="A9" sqref="A9:XFD9"/>
    </sheetView>
  </sheetViews>
  <sheetFormatPr defaultRowHeight="15" x14ac:dyDescent="0.25"/>
  <cols>
    <col min="3" max="3" width="18.8554687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22</v>
      </c>
      <c r="D5" s="2">
        <v>72.09</v>
      </c>
      <c r="E5" s="2">
        <v>0</v>
      </c>
      <c r="F5" s="2">
        <v>5</v>
      </c>
      <c r="G5" s="2">
        <v>0</v>
      </c>
    </row>
    <row r="6" spans="2:7" ht="15.75" thickBot="1" x14ac:dyDescent="0.3">
      <c r="B6" s="10">
        <v>2</v>
      </c>
      <c r="C6" s="3" t="s">
        <v>42</v>
      </c>
      <c r="D6" s="3">
        <v>72.09</v>
      </c>
      <c r="E6" s="3">
        <v>6.98</v>
      </c>
      <c r="F6" s="3">
        <v>5</v>
      </c>
      <c r="G6" s="3">
        <v>0</v>
      </c>
    </row>
    <row r="7" spans="2:7" ht="15.75" thickBot="1" x14ac:dyDescent="0.3">
      <c r="B7" s="9">
        <v>3</v>
      </c>
      <c r="C7" s="2" t="s">
        <v>43</v>
      </c>
      <c r="D7" s="2">
        <v>55.81</v>
      </c>
      <c r="E7" s="2">
        <v>2.33</v>
      </c>
      <c r="F7" s="2">
        <v>15</v>
      </c>
      <c r="G7" s="2">
        <v>0</v>
      </c>
    </row>
    <row r="8" spans="2:7" ht="15.75" thickBot="1" x14ac:dyDescent="0.3">
      <c r="B8" s="9">
        <v>4</v>
      </c>
      <c r="C8" s="2" t="s">
        <v>44</v>
      </c>
      <c r="D8" s="2">
        <v>60.47</v>
      </c>
      <c r="E8" s="2">
        <v>0</v>
      </c>
      <c r="F8" s="2">
        <v>10</v>
      </c>
      <c r="G8" s="2">
        <v>0</v>
      </c>
    </row>
    <row r="9" spans="2:7" s="44" customFormat="1" ht="15.75" thickBot="1" x14ac:dyDescent="0.3">
      <c r="B9" s="45">
        <v>5</v>
      </c>
      <c r="C9" s="46" t="s">
        <v>26</v>
      </c>
      <c r="D9" s="46">
        <v>48.84</v>
      </c>
      <c r="E9" s="46">
        <v>0</v>
      </c>
      <c r="F9" s="46">
        <v>30</v>
      </c>
      <c r="G9" s="46">
        <v>0</v>
      </c>
    </row>
    <row r="10" spans="2:7" ht="15.75" thickBot="1" x14ac:dyDescent="0.3">
      <c r="B10" s="9">
        <v>6</v>
      </c>
      <c r="C10" s="2" t="s">
        <v>45</v>
      </c>
      <c r="D10" s="2">
        <v>46.51</v>
      </c>
      <c r="E10" s="2">
        <v>2.33</v>
      </c>
      <c r="F10" s="2">
        <v>25</v>
      </c>
      <c r="G10" s="2">
        <v>0</v>
      </c>
    </row>
    <row r="11" spans="2:7" ht="15.75" thickBot="1" x14ac:dyDescent="0.3">
      <c r="B11" s="9">
        <v>7</v>
      </c>
      <c r="C11" s="2" t="s">
        <v>46</v>
      </c>
      <c r="D11" s="2">
        <v>46.51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47</v>
      </c>
      <c r="D12" s="2">
        <v>37.21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48</v>
      </c>
      <c r="D13" s="2">
        <v>41.86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49</v>
      </c>
      <c r="D14" s="2">
        <v>34.880000000000003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50</v>
      </c>
      <c r="D15" s="2">
        <v>32.56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57.36</v>
      </c>
      <c r="E16" s="16">
        <v>2.33</v>
      </c>
      <c r="F16" s="16">
        <v>14.17</v>
      </c>
      <c r="G16" s="16">
        <v>0</v>
      </c>
    </row>
    <row r="17" spans="2:7" ht="15.75" thickBot="1" x14ac:dyDescent="0.3">
      <c r="B17" s="17"/>
      <c r="C17" s="18" t="s">
        <v>34</v>
      </c>
      <c r="D17" s="19">
        <v>49.89</v>
      </c>
      <c r="E17" s="19">
        <v>2.11</v>
      </c>
      <c r="F17" s="19">
        <v>19.09</v>
      </c>
      <c r="G17" s="19">
        <v>0</v>
      </c>
    </row>
    <row r="19" spans="2:7" ht="15.75" x14ac:dyDescent="0.25">
      <c r="B19" s="20" t="s">
        <v>52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18.425781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21</v>
      </c>
      <c r="D5" s="3">
        <v>81.400000000000006</v>
      </c>
      <c r="E5" s="3">
        <v>16.28</v>
      </c>
      <c r="F5" s="3">
        <v>5</v>
      </c>
      <c r="G5" s="3">
        <v>0</v>
      </c>
    </row>
    <row r="6" spans="2:7" ht="15.75" thickBot="1" x14ac:dyDescent="0.3">
      <c r="B6" s="11">
        <v>2</v>
      </c>
      <c r="C6" s="4" t="s">
        <v>58</v>
      </c>
      <c r="D6" s="4">
        <v>81.400000000000006</v>
      </c>
      <c r="E6" s="4">
        <v>6.98</v>
      </c>
      <c r="F6" s="4">
        <v>15</v>
      </c>
      <c r="G6" s="4">
        <v>0</v>
      </c>
    </row>
    <row r="7" spans="2:7" ht="15.75" thickBot="1" x14ac:dyDescent="0.3">
      <c r="B7" s="9">
        <v>3</v>
      </c>
      <c r="C7" s="2" t="s">
        <v>59</v>
      </c>
      <c r="D7" s="2">
        <v>90.7</v>
      </c>
      <c r="E7" s="2">
        <v>13.95</v>
      </c>
      <c r="F7" s="2">
        <v>5</v>
      </c>
      <c r="G7" s="2">
        <v>0</v>
      </c>
    </row>
    <row r="8" spans="2:7" ht="15.75" thickBot="1" x14ac:dyDescent="0.3">
      <c r="B8" s="9">
        <v>4</v>
      </c>
      <c r="C8" s="2" t="s">
        <v>60</v>
      </c>
      <c r="D8" s="2">
        <v>69.77</v>
      </c>
      <c r="E8" s="2">
        <v>6.98</v>
      </c>
      <c r="F8" s="2">
        <v>10</v>
      </c>
      <c r="G8" s="2">
        <v>0</v>
      </c>
    </row>
    <row r="9" spans="2:7" ht="15.75" thickBot="1" x14ac:dyDescent="0.3">
      <c r="B9" s="9">
        <v>5</v>
      </c>
      <c r="C9" s="2" t="s">
        <v>61</v>
      </c>
      <c r="D9" s="2">
        <v>67.44</v>
      </c>
      <c r="E9" s="2">
        <v>2.33</v>
      </c>
      <c r="F9" s="2">
        <v>10</v>
      </c>
      <c r="G9" s="2">
        <v>0</v>
      </c>
    </row>
    <row r="10" spans="2:7" ht="15.75" thickBot="1" x14ac:dyDescent="0.3">
      <c r="B10" s="9">
        <v>6</v>
      </c>
      <c r="C10" s="2" t="s">
        <v>62</v>
      </c>
      <c r="D10" s="2">
        <v>65.12</v>
      </c>
      <c r="E10" s="2">
        <v>2.33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63</v>
      </c>
      <c r="D11" s="2">
        <v>55.81</v>
      </c>
      <c r="E11" s="2">
        <v>2.33</v>
      </c>
      <c r="F11" s="2">
        <v>20</v>
      </c>
      <c r="G11" s="2">
        <v>0</v>
      </c>
    </row>
    <row r="12" spans="2:7" ht="15.75" thickBot="1" x14ac:dyDescent="0.3">
      <c r="B12" s="9">
        <v>8</v>
      </c>
      <c r="C12" s="2" t="s">
        <v>64</v>
      </c>
      <c r="D12" s="2">
        <v>53.49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65</v>
      </c>
      <c r="D13" s="2">
        <v>46.51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31</v>
      </c>
      <c r="D14" s="2">
        <v>44.19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66</v>
      </c>
      <c r="D15" s="2">
        <v>37.21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73.64</v>
      </c>
      <c r="E16" s="16">
        <v>8.14</v>
      </c>
      <c r="F16" s="16">
        <v>11.67</v>
      </c>
      <c r="G16" s="16">
        <v>0</v>
      </c>
    </row>
    <row r="17" spans="2:7" ht="15.75" thickBot="1" x14ac:dyDescent="0.3">
      <c r="B17" s="17"/>
      <c r="C17" s="18" t="s">
        <v>34</v>
      </c>
      <c r="D17" s="19">
        <v>63</v>
      </c>
      <c r="E17" s="19">
        <v>5.5</v>
      </c>
      <c r="F17" s="19">
        <v>16.36</v>
      </c>
      <c r="G17" s="19">
        <v>0</v>
      </c>
    </row>
    <row r="19" spans="2:7" ht="15.75" x14ac:dyDescent="0.25">
      <c r="B19" s="20" t="s">
        <v>67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21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21</v>
      </c>
      <c r="D5" s="2">
        <v>62.79</v>
      </c>
      <c r="E5" s="2">
        <v>0</v>
      </c>
      <c r="F5" s="2">
        <v>0</v>
      </c>
      <c r="G5" s="2">
        <v>0</v>
      </c>
    </row>
    <row r="6" spans="2:7" ht="15.75" thickBot="1" x14ac:dyDescent="0.3">
      <c r="B6" s="9">
        <v>2</v>
      </c>
      <c r="C6" s="2" t="s">
        <v>58</v>
      </c>
      <c r="D6" s="2">
        <v>81.400000000000006</v>
      </c>
      <c r="E6" s="2">
        <v>4.6500000000000004</v>
      </c>
      <c r="F6" s="2">
        <v>5</v>
      </c>
      <c r="G6" s="2">
        <v>0</v>
      </c>
    </row>
    <row r="7" spans="2:7" ht="15.75" thickBot="1" x14ac:dyDescent="0.3">
      <c r="B7" s="10">
        <v>3</v>
      </c>
      <c r="C7" s="3" t="s">
        <v>59</v>
      </c>
      <c r="D7" s="3">
        <v>90.7</v>
      </c>
      <c r="E7" s="3">
        <v>13.95</v>
      </c>
      <c r="F7" s="3">
        <v>0</v>
      </c>
      <c r="G7" s="3">
        <v>0</v>
      </c>
    </row>
    <row r="8" spans="2:7" ht="15.75" thickBot="1" x14ac:dyDescent="0.3">
      <c r="B8" s="9">
        <v>4</v>
      </c>
      <c r="C8" s="2" t="s">
        <v>60</v>
      </c>
      <c r="D8" s="2">
        <v>69.77</v>
      </c>
      <c r="E8" s="2">
        <v>6.98</v>
      </c>
      <c r="F8" s="2">
        <v>5</v>
      </c>
      <c r="G8" s="2">
        <v>0</v>
      </c>
    </row>
    <row r="9" spans="2:7" ht="15.75" thickBot="1" x14ac:dyDescent="0.3">
      <c r="B9" s="9">
        <v>5</v>
      </c>
      <c r="C9" s="2" t="s">
        <v>61</v>
      </c>
      <c r="D9" s="2">
        <v>67.44</v>
      </c>
      <c r="E9" s="2">
        <v>2.33</v>
      </c>
      <c r="F9" s="2">
        <v>5</v>
      </c>
      <c r="G9" s="2">
        <v>0</v>
      </c>
    </row>
    <row r="10" spans="2:7" ht="15.75" thickBot="1" x14ac:dyDescent="0.3">
      <c r="B10" s="11">
        <v>6</v>
      </c>
      <c r="C10" s="4" t="s">
        <v>62</v>
      </c>
      <c r="D10" s="4">
        <v>65.12</v>
      </c>
      <c r="E10" s="4">
        <v>2.33</v>
      </c>
      <c r="F10" s="4">
        <v>10</v>
      </c>
      <c r="G10" s="4">
        <v>0</v>
      </c>
    </row>
    <row r="11" spans="2:7" ht="15.75" thickBot="1" x14ac:dyDescent="0.3">
      <c r="B11" s="9">
        <v>7</v>
      </c>
      <c r="C11" s="2" t="s">
        <v>63</v>
      </c>
      <c r="D11" s="2">
        <v>55.81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64</v>
      </c>
      <c r="D12" s="2">
        <v>53.49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65</v>
      </c>
      <c r="D13" s="2">
        <v>46.51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31</v>
      </c>
      <c r="D14" s="2">
        <v>44.19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66</v>
      </c>
      <c r="D15" s="2">
        <v>37.21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70.540000000000006</v>
      </c>
      <c r="E16" s="16">
        <v>5.04</v>
      </c>
      <c r="F16" s="16">
        <v>7.5</v>
      </c>
      <c r="G16" s="16">
        <v>0</v>
      </c>
    </row>
    <row r="17" spans="2:7" ht="15.75" thickBot="1" x14ac:dyDescent="0.3">
      <c r="B17" s="17"/>
      <c r="C17" s="18" t="s">
        <v>34</v>
      </c>
      <c r="D17" s="19">
        <v>61.31</v>
      </c>
      <c r="E17" s="19">
        <v>3.81</v>
      </c>
      <c r="F17" s="19">
        <v>13.18</v>
      </c>
      <c r="G17" s="19">
        <v>0</v>
      </c>
    </row>
    <row r="19" spans="2:7" ht="15.75" x14ac:dyDescent="0.25">
      <c r="B19" s="20" t="s">
        <v>68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19"/>
  <sheetViews>
    <sheetView workbookViewId="0">
      <selection activeCell="I12" sqref="I12"/>
    </sheetView>
  </sheetViews>
  <sheetFormatPr defaultRowHeight="15" x14ac:dyDescent="0.25"/>
  <cols>
    <col min="3" max="3" width="15.710937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69</v>
      </c>
      <c r="D5" s="2">
        <v>60.47</v>
      </c>
      <c r="E5" s="2">
        <v>2.33</v>
      </c>
      <c r="F5" s="2">
        <v>5</v>
      </c>
      <c r="G5" s="2">
        <v>0</v>
      </c>
    </row>
    <row r="6" spans="2:7" ht="15.75" thickBot="1" x14ac:dyDescent="0.3">
      <c r="B6" s="9">
        <v>2</v>
      </c>
      <c r="C6" s="2" t="s">
        <v>70</v>
      </c>
      <c r="D6" s="2">
        <v>74.42</v>
      </c>
      <c r="E6" s="2">
        <v>11.63</v>
      </c>
      <c r="F6" s="2">
        <v>5</v>
      </c>
      <c r="G6" s="2">
        <v>0</v>
      </c>
    </row>
    <row r="7" spans="2:7" ht="15.75" thickBot="1" x14ac:dyDescent="0.3">
      <c r="B7" s="10">
        <v>3</v>
      </c>
      <c r="C7" s="3" t="s">
        <v>59</v>
      </c>
      <c r="D7" s="3">
        <v>76.739999999999995</v>
      </c>
      <c r="E7" s="3">
        <v>16.28</v>
      </c>
      <c r="F7" s="3">
        <v>10</v>
      </c>
      <c r="G7" s="3">
        <v>0</v>
      </c>
    </row>
    <row r="8" spans="2:7" ht="15.75" thickBot="1" x14ac:dyDescent="0.3">
      <c r="B8" s="9">
        <v>4</v>
      </c>
      <c r="C8" s="2" t="s">
        <v>71</v>
      </c>
      <c r="D8" s="2">
        <v>53.49</v>
      </c>
      <c r="E8" s="2">
        <v>4.6500000000000004</v>
      </c>
      <c r="F8" s="2">
        <v>15</v>
      </c>
      <c r="G8" s="2">
        <v>0</v>
      </c>
    </row>
    <row r="9" spans="2:7" s="44" customFormat="1" ht="15.75" thickBot="1" x14ac:dyDescent="0.3">
      <c r="B9" s="45">
        <v>5</v>
      </c>
      <c r="C9" s="46" t="s">
        <v>72</v>
      </c>
      <c r="D9" s="46">
        <v>46.51</v>
      </c>
      <c r="E9" s="46">
        <v>2.33</v>
      </c>
      <c r="F9" s="46">
        <v>35</v>
      </c>
      <c r="G9" s="46">
        <v>0</v>
      </c>
    </row>
    <row r="10" spans="2:7" s="44" customFormat="1" ht="15.75" thickBot="1" x14ac:dyDescent="0.3">
      <c r="B10" s="45">
        <v>6</v>
      </c>
      <c r="C10" s="46" t="s">
        <v>73</v>
      </c>
      <c r="D10" s="46">
        <v>41.86</v>
      </c>
      <c r="E10" s="46">
        <v>2.33</v>
      </c>
      <c r="F10" s="46">
        <v>35</v>
      </c>
      <c r="G10" s="46">
        <v>0</v>
      </c>
    </row>
    <row r="11" spans="2:7" ht="15.75" thickBot="1" x14ac:dyDescent="0.3">
      <c r="B11" s="9">
        <v>7</v>
      </c>
      <c r="C11" s="2" t="s">
        <v>46</v>
      </c>
      <c r="D11" s="2">
        <v>37.21</v>
      </c>
      <c r="E11" s="2">
        <v>2.33</v>
      </c>
      <c r="F11" s="2">
        <v>25</v>
      </c>
      <c r="G11" s="2">
        <v>0</v>
      </c>
    </row>
    <row r="12" spans="2:7" ht="15.75" thickBot="1" x14ac:dyDescent="0.3">
      <c r="B12" s="9">
        <v>8</v>
      </c>
      <c r="C12" s="2" t="s">
        <v>74</v>
      </c>
      <c r="D12" s="2">
        <v>44.19</v>
      </c>
      <c r="E12" s="2">
        <v>0</v>
      </c>
      <c r="F12" s="2">
        <v>20</v>
      </c>
      <c r="G12" s="2">
        <v>0</v>
      </c>
    </row>
    <row r="13" spans="2:7" ht="15.75" thickBot="1" x14ac:dyDescent="0.3">
      <c r="B13" s="9">
        <v>10</v>
      </c>
      <c r="C13" s="2" t="s">
        <v>75</v>
      </c>
      <c r="D13" s="2">
        <v>34.880000000000003</v>
      </c>
      <c r="E13" s="2">
        <v>2.33</v>
      </c>
      <c r="F13" s="2">
        <v>30</v>
      </c>
      <c r="G13" s="2">
        <v>0</v>
      </c>
    </row>
    <row r="14" spans="2:7" ht="15.75" thickBot="1" x14ac:dyDescent="0.3">
      <c r="B14" s="9">
        <v>12</v>
      </c>
      <c r="C14" s="2" t="s">
        <v>76</v>
      </c>
      <c r="D14" s="2">
        <v>37.21</v>
      </c>
      <c r="E14" s="2">
        <v>2.33</v>
      </c>
      <c r="F14" s="2">
        <v>25</v>
      </c>
      <c r="G14" s="2">
        <v>0</v>
      </c>
    </row>
    <row r="15" spans="2:7" ht="15.75" thickBot="1" x14ac:dyDescent="0.3">
      <c r="B15" s="9">
        <v>14</v>
      </c>
      <c r="C15" s="2" t="s">
        <v>77</v>
      </c>
      <c r="D15" s="2">
        <v>37.21</v>
      </c>
      <c r="E15" s="2">
        <v>2.33</v>
      </c>
      <c r="F15" s="2">
        <v>25</v>
      </c>
      <c r="G15" s="2">
        <v>0</v>
      </c>
    </row>
    <row r="16" spans="2:7" ht="15.75" thickBot="1" x14ac:dyDescent="0.3">
      <c r="B16" s="14"/>
      <c r="C16" s="15" t="s">
        <v>33</v>
      </c>
      <c r="D16" s="16">
        <v>58.53</v>
      </c>
      <c r="E16" s="16">
        <v>6.2</v>
      </c>
      <c r="F16" s="16">
        <v>15</v>
      </c>
      <c r="G16" s="16">
        <v>0</v>
      </c>
    </row>
    <row r="17" spans="2:7" ht="15.75" thickBot="1" x14ac:dyDescent="0.3">
      <c r="B17" s="17"/>
      <c r="C17" s="18" t="s">
        <v>34</v>
      </c>
      <c r="D17" s="19">
        <v>49.47</v>
      </c>
      <c r="E17" s="19">
        <v>4.4400000000000004</v>
      </c>
      <c r="F17" s="19">
        <v>20.91</v>
      </c>
      <c r="G17" s="19">
        <v>0</v>
      </c>
    </row>
    <row r="19" spans="2:7" ht="15.75" x14ac:dyDescent="0.25">
      <c r="B19" s="20" t="s">
        <v>78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19"/>
  <sheetViews>
    <sheetView tabSelected="1" workbookViewId="0"/>
  </sheetViews>
  <sheetFormatPr defaultRowHeight="15" x14ac:dyDescent="0.25"/>
  <cols>
    <col min="3" max="3" width="18.1406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69</v>
      </c>
      <c r="D5" s="2">
        <v>60.47</v>
      </c>
      <c r="E5" s="2">
        <v>2.33</v>
      </c>
      <c r="F5" s="2">
        <v>5</v>
      </c>
      <c r="G5" s="2">
        <v>0</v>
      </c>
    </row>
    <row r="6" spans="2:7" ht="15.75" thickBot="1" x14ac:dyDescent="0.3">
      <c r="B6" s="9">
        <v>2</v>
      </c>
      <c r="C6" s="2" t="s">
        <v>70</v>
      </c>
      <c r="D6" s="2">
        <v>74.42</v>
      </c>
      <c r="E6" s="2">
        <v>4.6500000000000004</v>
      </c>
      <c r="F6" s="2">
        <v>0</v>
      </c>
      <c r="G6" s="2">
        <v>0</v>
      </c>
    </row>
    <row r="7" spans="2:7" ht="15.75" thickBot="1" x14ac:dyDescent="0.3">
      <c r="B7" s="10">
        <v>3</v>
      </c>
      <c r="C7" s="3" t="s">
        <v>59</v>
      </c>
      <c r="D7" s="3">
        <v>76.739999999999995</v>
      </c>
      <c r="E7" s="3">
        <v>13.95</v>
      </c>
      <c r="F7" s="3">
        <v>5</v>
      </c>
      <c r="G7" s="3">
        <v>0</v>
      </c>
    </row>
    <row r="8" spans="2:7" ht="15.75" thickBot="1" x14ac:dyDescent="0.3">
      <c r="B8" s="9">
        <v>4</v>
      </c>
      <c r="C8" s="2" t="s">
        <v>71</v>
      </c>
      <c r="D8" s="2">
        <v>53.49</v>
      </c>
      <c r="E8" s="2">
        <v>4.6500000000000004</v>
      </c>
      <c r="F8" s="2">
        <v>10</v>
      </c>
      <c r="G8" s="2">
        <v>0</v>
      </c>
    </row>
    <row r="9" spans="2:7" s="44" customFormat="1" ht="15.75" thickBot="1" x14ac:dyDescent="0.3">
      <c r="B9" s="45">
        <v>5</v>
      </c>
      <c r="C9" s="46" t="s">
        <v>72</v>
      </c>
      <c r="D9" s="46">
        <v>46.51</v>
      </c>
      <c r="E9" s="46">
        <v>2.33</v>
      </c>
      <c r="F9" s="46">
        <v>30</v>
      </c>
      <c r="G9" s="46">
        <v>0</v>
      </c>
    </row>
    <row r="10" spans="2:7" s="44" customFormat="1" ht="15.75" thickBot="1" x14ac:dyDescent="0.3">
      <c r="B10" s="45">
        <v>6</v>
      </c>
      <c r="C10" s="46" t="s">
        <v>73</v>
      </c>
      <c r="D10" s="46">
        <v>41.86</v>
      </c>
      <c r="E10" s="46">
        <v>2.33</v>
      </c>
      <c r="F10" s="46">
        <v>35</v>
      </c>
      <c r="G10" s="46">
        <v>0</v>
      </c>
    </row>
    <row r="11" spans="2:7" ht="15.75" thickBot="1" x14ac:dyDescent="0.3">
      <c r="B11" s="9">
        <v>7</v>
      </c>
      <c r="C11" s="2" t="s">
        <v>46</v>
      </c>
      <c r="D11" s="2">
        <v>37.21</v>
      </c>
      <c r="E11" s="2">
        <v>2.33</v>
      </c>
      <c r="F11" s="2">
        <v>25</v>
      </c>
      <c r="G11" s="2">
        <v>0</v>
      </c>
    </row>
    <row r="12" spans="2:7" ht="15.75" thickBot="1" x14ac:dyDescent="0.3">
      <c r="B12" s="9">
        <v>8</v>
      </c>
      <c r="C12" s="2" t="s">
        <v>74</v>
      </c>
      <c r="D12" s="2">
        <v>44.19</v>
      </c>
      <c r="E12" s="2">
        <v>0</v>
      </c>
      <c r="F12" s="2">
        <v>20</v>
      </c>
      <c r="G12" s="2">
        <v>0</v>
      </c>
    </row>
    <row r="13" spans="2:7" ht="15.75" thickBot="1" x14ac:dyDescent="0.3">
      <c r="B13" s="9">
        <v>10</v>
      </c>
      <c r="C13" s="2" t="s">
        <v>75</v>
      </c>
      <c r="D13" s="2">
        <v>34.880000000000003</v>
      </c>
      <c r="E13" s="2">
        <v>2.33</v>
      </c>
      <c r="F13" s="2">
        <v>30</v>
      </c>
      <c r="G13" s="2">
        <v>0</v>
      </c>
    </row>
    <row r="14" spans="2:7" ht="15.75" thickBot="1" x14ac:dyDescent="0.3">
      <c r="B14" s="9">
        <v>12</v>
      </c>
      <c r="C14" s="2" t="s">
        <v>76</v>
      </c>
      <c r="D14" s="2">
        <v>37.21</v>
      </c>
      <c r="E14" s="2">
        <v>2.33</v>
      </c>
      <c r="F14" s="2">
        <v>20</v>
      </c>
      <c r="G14" s="2">
        <v>0</v>
      </c>
    </row>
    <row r="15" spans="2:7" ht="15.75" thickBot="1" x14ac:dyDescent="0.3">
      <c r="B15" s="9">
        <v>14</v>
      </c>
      <c r="C15" s="2" t="s">
        <v>77</v>
      </c>
      <c r="D15" s="2">
        <v>32.56</v>
      </c>
      <c r="E15" s="2">
        <v>2.33</v>
      </c>
      <c r="F15" s="2">
        <v>25</v>
      </c>
      <c r="G15" s="2">
        <v>0</v>
      </c>
    </row>
    <row r="16" spans="2:7" ht="15.75" thickBot="1" x14ac:dyDescent="0.3">
      <c r="B16" s="14"/>
      <c r="C16" s="15" t="s">
        <v>33</v>
      </c>
      <c r="D16" s="16">
        <v>58.53</v>
      </c>
      <c r="E16" s="16">
        <v>4.6500000000000004</v>
      </c>
      <c r="F16" s="16">
        <v>12.5</v>
      </c>
      <c r="G16" s="16">
        <v>0</v>
      </c>
    </row>
    <row r="17" spans="2:7" ht="15.75" thickBot="1" x14ac:dyDescent="0.3">
      <c r="B17" s="17"/>
      <c r="C17" s="18" t="s">
        <v>34</v>
      </c>
      <c r="D17" s="19">
        <v>49.05</v>
      </c>
      <c r="E17" s="19">
        <v>3.59</v>
      </c>
      <c r="F17" s="19">
        <v>18.64</v>
      </c>
      <c r="G17" s="19">
        <v>0</v>
      </c>
    </row>
    <row r="19" spans="2:7" ht="15.75" x14ac:dyDescent="0.25">
      <c r="B19" s="20" t="s">
        <v>79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19.1406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81</v>
      </c>
      <c r="D5" s="3">
        <v>97.67</v>
      </c>
      <c r="E5" s="3">
        <v>39.53</v>
      </c>
      <c r="F5" s="3">
        <v>0</v>
      </c>
      <c r="G5" s="3">
        <v>0</v>
      </c>
    </row>
    <row r="6" spans="2:7" ht="15.75" thickBot="1" x14ac:dyDescent="0.3">
      <c r="B6" s="9">
        <v>2</v>
      </c>
      <c r="C6" s="2" t="s">
        <v>20</v>
      </c>
      <c r="D6" s="2">
        <v>95.35</v>
      </c>
      <c r="E6" s="2">
        <v>37.21</v>
      </c>
      <c r="F6" s="2">
        <v>5</v>
      </c>
      <c r="G6" s="2">
        <v>0</v>
      </c>
    </row>
    <row r="7" spans="2:7" ht="15.75" thickBot="1" x14ac:dyDescent="0.3">
      <c r="B7" s="9">
        <v>3</v>
      </c>
      <c r="C7" s="2" t="s">
        <v>82</v>
      </c>
      <c r="D7" s="2">
        <v>93.02</v>
      </c>
      <c r="E7" s="2">
        <v>25.58</v>
      </c>
      <c r="F7" s="2">
        <v>5</v>
      </c>
      <c r="G7" s="2">
        <v>0</v>
      </c>
    </row>
    <row r="8" spans="2:7" ht="15.75" thickBot="1" x14ac:dyDescent="0.3">
      <c r="B8" s="11">
        <v>4</v>
      </c>
      <c r="C8" s="4" t="s">
        <v>71</v>
      </c>
      <c r="D8" s="4">
        <v>88.37</v>
      </c>
      <c r="E8" s="4">
        <v>6.98</v>
      </c>
      <c r="F8" s="4">
        <v>15</v>
      </c>
      <c r="G8" s="4">
        <v>0</v>
      </c>
    </row>
    <row r="9" spans="2:7" ht="15.75" thickBot="1" x14ac:dyDescent="0.3">
      <c r="B9" s="9">
        <v>5</v>
      </c>
      <c r="C9" s="2" t="s">
        <v>83</v>
      </c>
      <c r="D9" s="2">
        <v>74.42</v>
      </c>
      <c r="E9" s="2">
        <v>4.6500000000000004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62</v>
      </c>
      <c r="D10" s="2">
        <v>74.42</v>
      </c>
      <c r="E10" s="2">
        <v>2.33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84</v>
      </c>
      <c r="D11" s="2">
        <v>83.72</v>
      </c>
      <c r="E11" s="2">
        <v>9.3000000000000007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85</v>
      </c>
      <c r="D12" s="2">
        <v>55.81</v>
      </c>
      <c r="E12" s="2">
        <v>4.6500000000000004</v>
      </c>
      <c r="F12" s="2">
        <v>30</v>
      </c>
      <c r="G12" s="2">
        <v>0</v>
      </c>
    </row>
    <row r="13" spans="2:7" ht="15.75" thickBot="1" x14ac:dyDescent="0.3">
      <c r="B13" s="9">
        <v>10</v>
      </c>
      <c r="C13" s="2" t="s">
        <v>86</v>
      </c>
      <c r="D13" s="2">
        <v>51.16</v>
      </c>
      <c r="E13" s="2">
        <v>6.98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87</v>
      </c>
      <c r="D14" s="2">
        <v>53.49</v>
      </c>
      <c r="E14" s="2">
        <v>2.33</v>
      </c>
      <c r="F14" s="2">
        <v>15</v>
      </c>
      <c r="G14" s="2">
        <v>0</v>
      </c>
    </row>
    <row r="15" spans="2:7" ht="15.75" thickBot="1" x14ac:dyDescent="0.3">
      <c r="B15" s="9">
        <v>14</v>
      </c>
      <c r="C15" s="2" t="s">
        <v>77</v>
      </c>
      <c r="D15" s="2">
        <v>44.19</v>
      </c>
      <c r="E15" s="2">
        <v>4.6500000000000004</v>
      </c>
      <c r="F15" s="2">
        <v>15</v>
      </c>
      <c r="G15" s="2">
        <v>0</v>
      </c>
    </row>
    <row r="16" spans="2:7" ht="15.75" thickBot="1" x14ac:dyDescent="0.3">
      <c r="B16" s="14"/>
      <c r="C16" s="15" t="s">
        <v>33</v>
      </c>
      <c r="D16" s="16">
        <v>84.11</v>
      </c>
      <c r="E16" s="16">
        <v>19.38</v>
      </c>
      <c r="F16" s="16">
        <v>10.83</v>
      </c>
      <c r="G16" s="16">
        <v>0</v>
      </c>
    </row>
    <row r="17" spans="2:7" ht="15.75" thickBot="1" x14ac:dyDescent="0.3">
      <c r="B17" s="17"/>
      <c r="C17" s="18" t="s">
        <v>34</v>
      </c>
      <c r="D17" s="19">
        <v>73.78</v>
      </c>
      <c r="E17" s="19">
        <v>13.11</v>
      </c>
      <c r="F17" s="19">
        <v>13.18</v>
      </c>
      <c r="G17" s="19">
        <v>0</v>
      </c>
    </row>
    <row r="19" spans="2:7" ht="15.75" x14ac:dyDescent="0.25">
      <c r="B19" s="21" t="s">
        <v>88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14.85546875" bestFit="1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81</v>
      </c>
      <c r="D5" s="2">
        <v>86.05</v>
      </c>
      <c r="E5" s="2">
        <v>11.63</v>
      </c>
      <c r="F5" s="2">
        <v>0</v>
      </c>
      <c r="G5" s="2">
        <v>0</v>
      </c>
    </row>
    <row r="6" spans="2:7" ht="15.75" thickBot="1" x14ac:dyDescent="0.3">
      <c r="B6" s="10">
        <v>2</v>
      </c>
      <c r="C6" s="3" t="s">
        <v>20</v>
      </c>
      <c r="D6" s="3">
        <v>95.35</v>
      </c>
      <c r="E6" s="3">
        <v>27.91</v>
      </c>
      <c r="F6" s="3">
        <v>5</v>
      </c>
      <c r="G6" s="3">
        <v>0</v>
      </c>
    </row>
    <row r="7" spans="2:7" ht="15.75" thickBot="1" x14ac:dyDescent="0.3">
      <c r="B7" s="9">
        <v>3</v>
      </c>
      <c r="C7" s="2" t="s">
        <v>82</v>
      </c>
      <c r="D7" s="2">
        <v>93.02</v>
      </c>
      <c r="E7" s="2">
        <v>25.58</v>
      </c>
      <c r="F7" s="2">
        <v>5</v>
      </c>
      <c r="G7" s="2">
        <v>0</v>
      </c>
    </row>
    <row r="8" spans="2:7" ht="15.75" thickBot="1" x14ac:dyDescent="0.3">
      <c r="B8" s="9">
        <v>4</v>
      </c>
      <c r="C8" s="2" t="s">
        <v>71</v>
      </c>
      <c r="D8" s="2">
        <v>88.37</v>
      </c>
      <c r="E8" s="2">
        <v>6.98</v>
      </c>
      <c r="F8" s="2">
        <v>10</v>
      </c>
      <c r="G8" s="2">
        <v>0</v>
      </c>
    </row>
    <row r="9" spans="2:7" ht="15.75" thickBot="1" x14ac:dyDescent="0.3">
      <c r="B9" s="9">
        <v>5</v>
      </c>
      <c r="C9" s="2" t="s">
        <v>83</v>
      </c>
      <c r="D9" s="2">
        <v>69.77</v>
      </c>
      <c r="E9" s="2">
        <v>2.33</v>
      </c>
      <c r="F9" s="2">
        <v>10</v>
      </c>
      <c r="G9" s="2">
        <v>0</v>
      </c>
    </row>
    <row r="10" spans="2:7" ht="15.75" thickBot="1" x14ac:dyDescent="0.3">
      <c r="B10" s="9">
        <v>6</v>
      </c>
      <c r="C10" s="2" t="s">
        <v>62</v>
      </c>
      <c r="D10" s="2">
        <v>74.42</v>
      </c>
      <c r="E10" s="2">
        <v>2.33</v>
      </c>
      <c r="F10" s="2">
        <v>5</v>
      </c>
      <c r="G10" s="2">
        <v>0</v>
      </c>
    </row>
    <row r="11" spans="2:7" ht="15.75" thickBot="1" x14ac:dyDescent="0.3">
      <c r="B11" s="11">
        <v>7</v>
      </c>
      <c r="C11" s="4" t="s">
        <v>84</v>
      </c>
      <c r="D11" s="4">
        <v>83.72</v>
      </c>
      <c r="E11" s="4">
        <v>6.98</v>
      </c>
      <c r="F11" s="4">
        <v>15</v>
      </c>
      <c r="G11" s="4">
        <v>0</v>
      </c>
    </row>
    <row r="12" spans="2:7" ht="15.75" thickBot="1" x14ac:dyDescent="0.3">
      <c r="B12" s="9">
        <v>8</v>
      </c>
      <c r="C12" s="2" t="s">
        <v>85</v>
      </c>
      <c r="D12" s="2">
        <v>55.81</v>
      </c>
      <c r="E12" s="2">
        <v>4.6500000000000004</v>
      </c>
      <c r="F12" s="2">
        <v>30</v>
      </c>
      <c r="G12" s="2">
        <v>0</v>
      </c>
    </row>
    <row r="13" spans="2:7" ht="15.75" thickBot="1" x14ac:dyDescent="0.3">
      <c r="B13" s="9">
        <v>10</v>
      </c>
      <c r="C13" s="2" t="s">
        <v>86</v>
      </c>
      <c r="D13" s="2">
        <v>51.16</v>
      </c>
      <c r="E13" s="2">
        <v>4.6500000000000004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87</v>
      </c>
      <c r="D14" s="2">
        <v>39.53</v>
      </c>
      <c r="E14" s="2">
        <v>2.33</v>
      </c>
      <c r="F14" s="2">
        <v>15</v>
      </c>
      <c r="G14" s="2">
        <v>0</v>
      </c>
    </row>
    <row r="15" spans="2:7" ht="15.75" thickBot="1" x14ac:dyDescent="0.3">
      <c r="B15" s="9">
        <v>14</v>
      </c>
      <c r="C15" s="2" t="s">
        <v>77</v>
      </c>
      <c r="D15" s="2">
        <v>44.19</v>
      </c>
      <c r="E15" s="2">
        <v>4.6500000000000004</v>
      </c>
      <c r="F15" s="2">
        <v>15</v>
      </c>
      <c r="G15" s="2">
        <v>0</v>
      </c>
    </row>
    <row r="16" spans="2:7" ht="15.75" thickBot="1" x14ac:dyDescent="0.3">
      <c r="B16" s="14"/>
      <c r="C16" s="15" t="s">
        <v>33</v>
      </c>
      <c r="D16" s="16">
        <v>82.17</v>
      </c>
      <c r="E16" s="16">
        <v>13.18</v>
      </c>
      <c r="F16" s="16">
        <v>9.17</v>
      </c>
      <c r="G16" s="16">
        <v>0</v>
      </c>
    </row>
    <row r="17" spans="2:7" ht="15.75" thickBot="1" x14ac:dyDescent="0.3">
      <c r="B17" s="17"/>
      <c r="C17" s="18" t="s">
        <v>34</v>
      </c>
      <c r="D17" s="19">
        <v>71.040000000000006</v>
      </c>
      <c r="E17" s="19">
        <v>9.09</v>
      </c>
      <c r="F17" s="19">
        <v>11.82</v>
      </c>
      <c r="G17" s="19">
        <v>0</v>
      </c>
    </row>
    <row r="19" spans="2:7" ht="15.75" x14ac:dyDescent="0.25">
      <c r="B19" s="21" t="s">
        <v>89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15.8554687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21</v>
      </c>
      <c r="D5" s="3">
        <v>90.7</v>
      </c>
      <c r="E5" s="3">
        <v>13.95</v>
      </c>
      <c r="F5" s="3">
        <v>5</v>
      </c>
      <c r="G5" s="3">
        <v>0</v>
      </c>
    </row>
    <row r="6" spans="2:7" ht="15.75" thickBot="1" x14ac:dyDescent="0.3">
      <c r="B6" s="11">
        <v>2</v>
      </c>
      <c r="C6" s="4" t="s">
        <v>90</v>
      </c>
      <c r="D6" s="4">
        <v>88.37</v>
      </c>
      <c r="E6" s="4">
        <v>11.63</v>
      </c>
      <c r="F6" s="4">
        <v>10</v>
      </c>
      <c r="G6" s="4">
        <v>0</v>
      </c>
    </row>
    <row r="7" spans="2:7" ht="15.75" thickBot="1" x14ac:dyDescent="0.3">
      <c r="B7" s="9">
        <v>3</v>
      </c>
      <c r="C7" s="2" t="s">
        <v>43</v>
      </c>
      <c r="D7" s="2">
        <v>58.14</v>
      </c>
      <c r="E7" s="2">
        <v>4.6500000000000004</v>
      </c>
      <c r="F7" s="2">
        <v>15</v>
      </c>
      <c r="G7" s="2">
        <v>0</v>
      </c>
    </row>
    <row r="8" spans="2:7" ht="15.75" thickBot="1" x14ac:dyDescent="0.3">
      <c r="B8" s="9">
        <v>4</v>
      </c>
      <c r="C8" s="2" t="s">
        <v>91</v>
      </c>
      <c r="D8" s="2">
        <v>65.12</v>
      </c>
      <c r="E8" s="2">
        <v>2.33</v>
      </c>
      <c r="F8" s="2">
        <v>15</v>
      </c>
      <c r="G8" s="2">
        <v>0</v>
      </c>
    </row>
    <row r="9" spans="2:7" ht="15.75" thickBot="1" x14ac:dyDescent="0.3">
      <c r="B9" s="9">
        <v>5</v>
      </c>
      <c r="C9" s="2" t="s">
        <v>92</v>
      </c>
      <c r="D9" s="2">
        <v>58.14</v>
      </c>
      <c r="E9" s="2">
        <v>0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27</v>
      </c>
      <c r="D10" s="2">
        <v>48.84</v>
      </c>
      <c r="E10" s="2">
        <v>2.33</v>
      </c>
      <c r="F10" s="2">
        <v>20</v>
      </c>
      <c r="G10" s="2">
        <v>0</v>
      </c>
    </row>
    <row r="11" spans="2:7" ht="15.75" thickBot="1" x14ac:dyDescent="0.3">
      <c r="B11" s="9">
        <v>7</v>
      </c>
      <c r="C11" s="2" t="s">
        <v>93</v>
      </c>
      <c r="D11" s="2">
        <v>53.49</v>
      </c>
      <c r="E11" s="2">
        <v>0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94</v>
      </c>
      <c r="D12" s="2">
        <v>39.53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95</v>
      </c>
      <c r="D13" s="2">
        <v>46.51</v>
      </c>
      <c r="E13" s="2">
        <v>2.33</v>
      </c>
      <c r="F13" s="2">
        <v>30</v>
      </c>
      <c r="G13" s="2">
        <v>0</v>
      </c>
    </row>
    <row r="14" spans="2:7" ht="15.75" thickBot="1" x14ac:dyDescent="0.3">
      <c r="B14" s="9">
        <v>12</v>
      </c>
      <c r="C14" s="2" t="s">
        <v>96</v>
      </c>
      <c r="D14" s="2">
        <v>39.53</v>
      </c>
      <c r="E14" s="2">
        <v>2.33</v>
      </c>
      <c r="F14" s="2">
        <v>25</v>
      </c>
      <c r="G14" s="2">
        <v>0</v>
      </c>
    </row>
    <row r="15" spans="2:7" ht="15.75" thickBot="1" x14ac:dyDescent="0.3">
      <c r="B15" s="9">
        <v>14</v>
      </c>
      <c r="C15" s="2" t="s">
        <v>97</v>
      </c>
      <c r="D15" s="2">
        <v>30.23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65.12</v>
      </c>
      <c r="E16" s="16">
        <v>6.2</v>
      </c>
      <c r="F16" s="16">
        <v>15</v>
      </c>
      <c r="G16" s="16">
        <v>0</v>
      </c>
    </row>
    <row r="17" spans="2:7" ht="15.75" thickBot="1" x14ac:dyDescent="0.3">
      <c r="B17" s="17"/>
      <c r="C17" s="18" t="s">
        <v>34</v>
      </c>
      <c r="D17" s="19">
        <v>56.24</v>
      </c>
      <c r="E17" s="19">
        <v>4.0199999999999996</v>
      </c>
      <c r="F17" s="19">
        <v>18.64</v>
      </c>
      <c r="G17" s="19">
        <v>0</v>
      </c>
    </row>
    <row r="19" spans="2:7" ht="15.75" x14ac:dyDescent="0.25">
      <c r="B19" s="21" t="s">
        <v>98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G19"/>
  <sheetViews>
    <sheetView workbookViewId="0">
      <selection activeCell="D17" sqref="D17:G17"/>
    </sheetView>
  </sheetViews>
  <sheetFormatPr defaultRowHeight="15" x14ac:dyDescent="0.25"/>
  <cols>
    <col min="3" max="3" width="17.8554687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21</v>
      </c>
      <c r="D5" s="2">
        <v>79.069999999999993</v>
      </c>
      <c r="E5" s="2">
        <v>2.33</v>
      </c>
      <c r="F5" s="2">
        <v>0</v>
      </c>
      <c r="G5" s="2">
        <v>0</v>
      </c>
    </row>
    <row r="6" spans="2:7" ht="15.75" thickBot="1" x14ac:dyDescent="0.3">
      <c r="B6" s="10">
        <v>2</v>
      </c>
      <c r="C6" s="3" t="s">
        <v>90</v>
      </c>
      <c r="D6" s="3">
        <v>74.42</v>
      </c>
      <c r="E6" s="3">
        <v>9.3000000000000007</v>
      </c>
      <c r="F6" s="3">
        <v>0</v>
      </c>
      <c r="G6" s="3">
        <v>0</v>
      </c>
    </row>
    <row r="7" spans="2:7" ht="15.75" thickBot="1" x14ac:dyDescent="0.3">
      <c r="B7" s="9">
        <v>3</v>
      </c>
      <c r="C7" s="2" t="s">
        <v>43</v>
      </c>
      <c r="D7" s="2">
        <v>58.14</v>
      </c>
      <c r="E7" s="2">
        <v>2.33</v>
      </c>
      <c r="F7" s="2">
        <v>15</v>
      </c>
      <c r="G7" s="2">
        <v>0</v>
      </c>
    </row>
    <row r="8" spans="2:7" ht="15.75" thickBot="1" x14ac:dyDescent="0.3">
      <c r="B8" s="11">
        <v>4</v>
      </c>
      <c r="C8" s="4" t="s">
        <v>91</v>
      </c>
      <c r="D8" s="4">
        <v>65.12</v>
      </c>
      <c r="E8" s="4">
        <v>2.33</v>
      </c>
      <c r="F8" s="4">
        <v>15</v>
      </c>
      <c r="G8" s="4">
        <v>0</v>
      </c>
    </row>
    <row r="9" spans="2:7" ht="15.75" thickBot="1" x14ac:dyDescent="0.3">
      <c r="B9" s="9">
        <v>5</v>
      </c>
      <c r="C9" s="2" t="s">
        <v>92</v>
      </c>
      <c r="D9" s="2">
        <v>55.81</v>
      </c>
      <c r="E9" s="2">
        <v>0</v>
      </c>
      <c r="F9" s="2">
        <v>5</v>
      </c>
      <c r="G9" s="2">
        <v>0</v>
      </c>
    </row>
    <row r="10" spans="2:7" ht="15.75" thickBot="1" x14ac:dyDescent="0.3">
      <c r="B10" s="9">
        <v>6</v>
      </c>
      <c r="C10" s="2" t="s">
        <v>27</v>
      </c>
      <c r="D10" s="2">
        <v>48.84</v>
      </c>
      <c r="E10" s="2">
        <v>2.33</v>
      </c>
      <c r="F10" s="2">
        <v>20</v>
      </c>
      <c r="G10" s="2">
        <v>0</v>
      </c>
    </row>
    <row r="11" spans="2:7" ht="15.75" thickBot="1" x14ac:dyDescent="0.3">
      <c r="B11" s="9">
        <v>7</v>
      </c>
      <c r="C11" s="2" t="s">
        <v>93</v>
      </c>
      <c r="D11" s="2">
        <v>53.49</v>
      </c>
      <c r="E11" s="2">
        <v>0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94</v>
      </c>
      <c r="D12" s="2">
        <v>30.23</v>
      </c>
      <c r="E12" s="2">
        <v>2.33</v>
      </c>
      <c r="F12" s="2">
        <v>25</v>
      </c>
      <c r="G12" s="2">
        <v>0</v>
      </c>
    </row>
    <row r="13" spans="2:7" ht="15.75" thickBot="1" x14ac:dyDescent="0.3">
      <c r="B13" s="9">
        <v>10</v>
      </c>
      <c r="C13" s="2" t="s">
        <v>95</v>
      </c>
      <c r="D13" s="2">
        <v>46.51</v>
      </c>
      <c r="E13" s="2">
        <v>2.33</v>
      </c>
      <c r="F13" s="2">
        <v>30</v>
      </c>
      <c r="G13" s="2">
        <v>0</v>
      </c>
    </row>
    <row r="14" spans="2:7" ht="15.75" thickBot="1" x14ac:dyDescent="0.3">
      <c r="B14" s="9">
        <v>12</v>
      </c>
      <c r="C14" s="2" t="s">
        <v>96</v>
      </c>
      <c r="D14" s="2">
        <v>30.23</v>
      </c>
      <c r="E14" s="2">
        <v>2.33</v>
      </c>
      <c r="F14" s="2">
        <v>25</v>
      </c>
      <c r="G14" s="2">
        <v>0</v>
      </c>
    </row>
    <row r="15" spans="2:7" ht="15.75" thickBot="1" x14ac:dyDescent="0.3">
      <c r="B15" s="9">
        <v>14</v>
      </c>
      <c r="C15" s="2" t="s">
        <v>97</v>
      </c>
      <c r="D15" s="2">
        <v>30.23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59.3</v>
      </c>
      <c r="E16" s="16">
        <v>3.49</v>
      </c>
      <c r="F16" s="16">
        <v>12.5</v>
      </c>
      <c r="G16" s="16">
        <v>0</v>
      </c>
    </row>
    <row r="17" spans="2:7" ht="15.75" thickBot="1" x14ac:dyDescent="0.3">
      <c r="B17" s="17"/>
      <c r="C17" s="18" t="s">
        <v>34</v>
      </c>
      <c r="D17" s="19">
        <v>52.01</v>
      </c>
      <c r="E17" s="19">
        <v>2.54</v>
      </c>
      <c r="F17" s="19">
        <v>16.36</v>
      </c>
      <c r="G17" s="19">
        <v>0</v>
      </c>
    </row>
    <row r="19" spans="2:7" ht="15.75" x14ac:dyDescent="0.25">
      <c r="B19" s="21" t="s">
        <v>99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"/>
  <sheetViews>
    <sheetView workbookViewId="0">
      <selection activeCell="I35" sqref="I35"/>
    </sheetView>
  </sheetViews>
  <sheetFormatPr defaultRowHeight="15" x14ac:dyDescent="0.25"/>
  <cols>
    <col min="3" max="3" width="18" customWidth="1"/>
  </cols>
  <sheetData>
    <row r="1" spans="1:7" ht="15.75" thickBot="1" x14ac:dyDescent="0.3"/>
    <row r="2" spans="1:7" ht="15.75" thickBot="1" x14ac:dyDescent="0.3">
      <c r="D2" s="56" t="s">
        <v>3</v>
      </c>
      <c r="E2" s="57"/>
      <c r="F2" s="56" t="s">
        <v>4</v>
      </c>
      <c r="G2" s="58"/>
    </row>
    <row r="3" spans="1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1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1:7" ht="15.75" thickBot="1" x14ac:dyDescent="0.3">
      <c r="B5" s="9">
        <v>1</v>
      </c>
      <c r="C5" s="2" t="s">
        <v>22</v>
      </c>
      <c r="D5" s="2">
        <v>100</v>
      </c>
      <c r="E5" s="2">
        <v>41.86</v>
      </c>
      <c r="F5" s="2">
        <v>5</v>
      </c>
      <c r="G5" s="2">
        <v>0</v>
      </c>
    </row>
    <row r="6" spans="1:7" ht="15.75" thickBot="1" x14ac:dyDescent="0.3">
      <c r="B6" s="10">
        <v>2</v>
      </c>
      <c r="C6" s="3" t="s">
        <v>103</v>
      </c>
      <c r="D6" s="3">
        <v>100</v>
      </c>
      <c r="E6" s="3">
        <v>65.12</v>
      </c>
      <c r="F6" s="3">
        <v>10</v>
      </c>
      <c r="G6" s="3">
        <v>0</v>
      </c>
    </row>
    <row r="7" spans="1:7" ht="15.75" thickBot="1" x14ac:dyDescent="0.3">
      <c r="B7" s="9">
        <v>3</v>
      </c>
      <c r="C7" s="2" t="s">
        <v>104</v>
      </c>
      <c r="D7" s="2">
        <v>81.400000000000006</v>
      </c>
      <c r="E7" s="2">
        <v>9.3000000000000007</v>
      </c>
      <c r="F7" s="2">
        <v>10</v>
      </c>
      <c r="G7" s="2">
        <v>0</v>
      </c>
    </row>
    <row r="8" spans="1:7" ht="15.75" thickBot="1" x14ac:dyDescent="0.3">
      <c r="B8" s="9">
        <v>4</v>
      </c>
      <c r="C8" s="2" t="s">
        <v>105</v>
      </c>
      <c r="D8" s="2">
        <v>90.7</v>
      </c>
      <c r="E8" s="2">
        <v>6.98</v>
      </c>
      <c r="F8" s="2">
        <v>10</v>
      </c>
      <c r="G8" s="2">
        <v>0</v>
      </c>
    </row>
    <row r="9" spans="1:7" ht="15.75" thickBot="1" x14ac:dyDescent="0.3">
      <c r="A9" s="44"/>
      <c r="B9" s="45">
        <v>5</v>
      </c>
      <c r="C9" s="46" t="s">
        <v>106</v>
      </c>
      <c r="D9" s="46">
        <v>83.72</v>
      </c>
      <c r="E9" s="46">
        <v>18.600000000000001</v>
      </c>
      <c r="F9" s="46">
        <v>15</v>
      </c>
      <c r="G9" s="46">
        <v>0</v>
      </c>
    </row>
    <row r="10" spans="1:7" ht="15.75" thickBot="1" x14ac:dyDescent="0.3">
      <c r="B10" s="9">
        <v>6</v>
      </c>
      <c r="C10" s="2" t="s">
        <v>27</v>
      </c>
      <c r="D10" s="2">
        <v>76.739999999999995</v>
      </c>
      <c r="E10" s="2">
        <v>4.6500000000000004</v>
      </c>
      <c r="F10" s="2">
        <v>10</v>
      </c>
      <c r="G10" s="2">
        <v>0</v>
      </c>
    </row>
    <row r="11" spans="1:7" ht="15.75" thickBot="1" x14ac:dyDescent="0.3">
      <c r="B11" s="9">
        <v>7</v>
      </c>
      <c r="C11" s="2" t="s">
        <v>46</v>
      </c>
      <c r="D11" s="2">
        <v>67.44</v>
      </c>
      <c r="E11" s="2">
        <v>2.33</v>
      </c>
      <c r="F11" s="2">
        <v>20</v>
      </c>
      <c r="G11" s="2">
        <v>0</v>
      </c>
    </row>
    <row r="12" spans="1:7" ht="15.75" thickBot="1" x14ac:dyDescent="0.3">
      <c r="B12" s="9">
        <v>8</v>
      </c>
      <c r="C12" s="2" t="s">
        <v>107</v>
      </c>
      <c r="D12" s="2">
        <v>62.79</v>
      </c>
      <c r="E12" s="2">
        <v>4.6500000000000004</v>
      </c>
      <c r="F12" s="2">
        <v>25</v>
      </c>
      <c r="G12" s="2">
        <v>0</v>
      </c>
    </row>
    <row r="13" spans="1:7" ht="15.75" thickBot="1" x14ac:dyDescent="0.3">
      <c r="B13" s="9">
        <v>10</v>
      </c>
      <c r="C13" s="2" t="s">
        <v>65</v>
      </c>
      <c r="D13" s="2">
        <v>55.81</v>
      </c>
      <c r="E13" s="2">
        <v>2.33</v>
      </c>
      <c r="F13" s="2">
        <v>25</v>
      </c>
      <c r="G13" s="2">
        <v>0</v>
      </c>
    </row>
    <row r="14" spans="1:7" ht="15.75" thickBot="1" x14ac:dyDescent="0.3">
      <c r="B14" s="9">
        <v>12</v>
      </c>
      <c r="C14" s="2" t="s">
        <v>31</v>
      </c>
      <c r="D14" s="2">
        <v>55.81</v>
      </c>
      <c r="E14" s="2">
        <v>2.33</v>
      </c>
      <c r="F14" s="2">
        <v>15</v>
      </c>
      <c r="G14" s="2">
        <v>0</v>
      </c>
    </row>
    <row r="15" spans="1:7" ht="15.75" thickBot="1" x14ac:dyDescent="0.3">
      <c r="B15" s="9">
        <v>14</v>
      </c>
      <c r="C15" s="2" t="s">
        <v>108</v>
      </c>
      <c r="D15" s="2">
        <v>39.53</v>
      </c>
      <c r="E15" s="2">
        <v>2.33</v>
      </c>
      <c r="F15" s="2">
        <v>20</v>
      </c>
      <c r="G15" s="2">
        <v>0</v>
      </c>
    </row>
    <row r="16" spans="1:7" ht="15.75" thickBot="1" x14ac:dyDescent="0.3">
      <c r="B16" s="14"/>
      <c r="C16" s="15" t="s">
        <v>33</v>
      </c>
      <c r="D16" s="16">
        <v>85.27</v>
      </c>
      <c r="E16" s="16">
        <v>22.09</v>
      </c>
      <c r="F16" s="16">
        <v>11.67</v>
      </c>
      <c r="G16" s="16">
        <v>0</v>
      </c>
    </row>
    <row r="17" spans="2:7" ht="15.75" thickBot="1" x14ac:dyDescent="0.3">
      <c r="B17" s="17"/>
      <c r="C17" s="18" t="s">
        <v>34</v>
      </c>
      <c r="D17" s="19">
        <v>74</v>
      </c>
      <c r="E17" s="19">
        <v>14.59</v>
      </c>
      <c r="F17" s="19">
        <v>15</v>
      </c>
      <c r="G17" s="19">
        <v>0</v>
      </c>
    </row>
    <row r="19" spans="2:7" ht="15.75" x14ac:dyDescent="0.25">
      <c r="B19" s="21" t="s">
        <v>109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G19"/>
  <sheetViews>
    <sheetView workbookViewId="0">
      <selection activeCell="A6" sqref="A6:XFD6"/>
    </sheetView>
  </sheetViews>
  <sheetFormatPr defaultRowHeight="15" x14ac:dyDescent="0.25"/>
  <cols>
    <col min="3" max="3" width="14.85546875" bestFit="1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22</v>
      </c>
      <c r="D5" s="2">
        <v>100</v>
      </c>
      <c r="E5" s="2">
        <v>41.86</v>
      </c>
      <c r="F5" s="2">
        <v>5</v>
      </c>
      <c r="G5" s="2">
        <v>0</v>
      </c>
    </row>
    <row r="6" spans="2:7" ht="15.75" thickBot="1" x14ac:dyDescent="0.3">
      <c r="B6" s="10">
        <v>2</v>
      </c>
      <c r="C6" s="3" t="s">
        <v>103</v>
      </c>
      <c r="D6" s="3">
        <v>100</v>
      </c>
      <c r="E6" s="3">
        <v>62.79</v>
      </c>
      <c r="F6" s="3">
        <v>5</v>
      </c>
      <c r="G6" s="3">
        <v>0</v>
      </c>
    </row>
    <row r="7" spans="2:7" ht="15.75" thickBot="1" x14ac:dyDescent="0.3">
      <c r="B7" s="9">
        <v>3</v>
      </c>
      <c r="C7" s="2" t="s">
        <v>104</v>
      </c>
      <c r="D7" s="2">
        <v>81.400000000000006</v>
      </c>
      <c r="E7" s="2">
        <v>9.3000000000000007</v>
      </c>
      <c r="F7" s="2">
        <v>10</v>
      </c>
      <c r="G7" s="2">
        <v>0</v>
      </c>
    </row>
    <row r="8" spans="2:7" ht="15.75" thickBot="1" x14ac:dyDescent="0.3">
      <c r="B8" s="9">
        <v>4</v>
      </c>
      <c r="C8" s="2" t="s">
        <v>105</v>
      </c>
      <c r="D8" s="2">
        <v>90.7</v>
      </c>
      <c r="E8" s="2">
        <v>6.98</v>
      </c>
      <c r="F8" s="2">
        <v>10</v>
      </c>
      <c r="G8" s="2">
        <v>0</v>
      </c>
    </row>
    <row r="9" spans="2:7" s="44" customFormat="1" ht="15.75" thickBot="1" x14ac:dyDescent="0.3">
      <c r="B9" s="45">
        <v>5</v>
      </c>
      <c r="C9" s="46" t="s">
        <v>106</v>
      </c>
      <c r="D9" s="46">
        <v>83.72</v>
      </c>
      <c r="E9" s="46">
        <v>13.95</v>
      </c>
      <c r="F9" s="46">
        <v>15</v>
      </c>
      <c r="G9" s="46">
        <v>0</v>
      </c>
    </row>
    <row r="10" spans="2:7" ht="15.75" thickBot="1" x14ac:dyDescent="0.3">
      <c r="B10" s="9">
        <v>6</v>
      </c>
      <c r="C10" s="2" t="s">
        <v>27</v>
      </c>
      <c r="D10" s="2">
        <v>76.739999999999995</v>
      </c>
      <c r="E10" s="2">
        <v>4.6500000000000004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46</v>
      </c>
      <c r="D11" s="2">
        <v>67.44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107</v>
      </c>
      <c r="D12" s="2">
        <v>60.47</v>
      </c>
      <c r="E12" s="2">
        <v>4.6500000000000004</v>
      </c>
      <c r="F12" s="2">
        <v>20</v>
      </c>
      <c r="G12" s="2">
        <v>0</v>
      </c>
    </row>
    <row r="13" spans="2:7" ht="15.75" thickBot="1" x14ac:dyDescent="0.3">
      <c r="B13" s="9">
        <v>10</v>
      </c>
      <c r="C13" s="2" t="s">
        <v>65</v>
      </c>
      <c r="D13" s="2">
        <v>55.81</v>
      </c>
      <c r="E13" s="2">
        <v>2.33</v>
      </c>
      <c r="F13" s="2">
        <v>25</v>
      </c>
      <c r="G13" s="2">
        <v>0</v>
      </c>
    </row>
    <row r="14" spans="2:7" ht="15.75" thickBot="1" x14ac:dyDescent="0.3">
      <c r="B14" s="9">
        <v>12</v>
      </c>
      <c r="C14" s="2" t="s">
        <v>31</v>
      </c>
      <c r="D14" s="2">
        <v>55.81</v>
      </c>
      <c r="E14" s="2">
        <v>2.33</v>
      </c>
      <c r="F14" s="2">
        <v>15</v>
      </c>
      <c r="G14" s="2">
        <v>0</v>
      </c>
    </row>
    <row r="15" spans="2:7" ht="15.75" thickBot="1" x14ac:dyDescent="0.3">
      <c r="B15" s="9">
        <v>14</v>
      </c>
      <c r="C15" s="2" t="s">
        <v>108</v>
      </c>
      <c r="D15" s="2">
        <v>34.880000000000003</v>
      </c>
      <c r="E15" s="2">
        <v>2.33</v>
      </c>
      <c r="F15" s="2">
        <v>20</v>
      </c>
      <c r="G15" s="2">
        <v>0</v>
      </c>
    </row>
    <row r="16" spans="2:7" ht="15.75" thickBot="1" x14ac:dyDescent="0.3">
      <c r="B16" s="14"/>
      <c r="C16" s="15" t="s">
        <v>33</v>
      </c>
      <c r="D16" s="16">
        <v>84.88</v>
      </c>
      <c r="E16" s="16">
        <v>21.71</v>
      </c>
      <c r="F16" s="16">
        <v>10</v>
      </c>
      <c r="G16" s="16">
        <v>0</v>
      </c>
    </row>
    <row r="17" spans="2:7" ht="15.75" thickBot="1" x14ac:dyDescent="0.3">
      <c r="B17" s="17"/>
      <c r="C17" s="18" t="s">
        <v>34</v>
      </c>
      <c r="D17" s="19">
        <v>73.36</v>
      </c>
      <c r="E17" s="19">
        <v>13.95</v>
      </c>
      <c r="F17" s="19">
        <v>13.64</v>
      </c>
      <c r="G17" s="19">
        <v>0</v>
      </c>
    </row>
    <row r="19" spans="2:7" ht="15.75" x14ac:dyDescent="0.25">
      <c r="B19" s="21" t="s">
        <v>110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15.2851562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111</v>
      </c>
      <c r="D5" s="3">
        <v>74.42</v>
      </c>
      <c r="E5" s="3">
        <v>23.26</v>
      </c>
      <c r="F5" s="3">
        <v>5</v>
      </c>
      <c r="G5" s="3">
        <v>0</v>
      </c>
    </row>
    <row r="6" spans="2:7" ht="15.75" thickBot="1" x14ac:dyDescent="0.3">
      <c r="B6" s="11">
        <v>2</v>
      </c>
      <c r="C6" s="4" t="s">
        <v>112</v>
      </c>
      <c r="D6" s="4">
        <v>74.42</v>
      </c>
      <c r="E6" s="4">
        <v>9.3000000000000007</v>
      </c>
      <c r="F6" s="4">
        <v>10</v>
      </c>
      <c r="G6" s="4">
        <v>0</v>
      </c>
    </row>
    <row r="7" spans="2:7" ht="15.75" thickBot="1" x14ac:dyDescent="0.3">
      <c r="B7" s="9">
        <v>3</v>
      </c>
      <c r="C7" s="2" t="s">
        <v>43</v>
      </c>
      <c r="D7" s="2">
        <v>72.09</v>
      </c>
      <c r="E7" s="2">
        <v>6.98</v>
      </c>
      <c r="F7" s="2">
        <v>10</v>
      </c>
      <c r="G7" s="2">
        <v>0</v>
      </c>
    </row>
    <row r="8" spans="2:7" ht="15.75" thickBot="1" x14ac:dyDescent="0.3">
      <c r="B8" s="9">
        <v>4</v>
      </c>
      <c r="C8" s="2" t="s">
        <v>113</v>
      </c>
      <c r="D8" s="2">
        <v>72.09</v>
      </c>
      <c r="E8" s="2">
        <v>4.6500000000000004</v>
      </c>
      <c r="F8" s="2">
        <v>10</v>
      </c>
      <c r="G8" s="2">
        <v>0</v>
      </c>
    </row>
    <row r="9" spans="2:7" ht="15.75" thickBot="1" x14ac:dyDescent="0.3">
      <c r="B9" s="9">
        <v>5</v>
      </c>
      <c r="C9" s="2" t="s">
        <v>114</v>
      </c>
      <c r="D9" s="2">
        <v>53.49</v>
      </c>
      <c r="E9" s="2">
        <v>4.6500000000000004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115</v>
      </c>
      <c r="D10" s="2">
        <v>51.16</v>
      </c>
      <c r="E10" s="2">
        <v>2.33</v>
      </c>
      <c r="F10" s="2">
        <v>20</v>
      </c>
      <c r="G10" s="2">
        <v>0</v>
      </c>
    </row>
    <row r="11" spans="2:7" ht="15.75" thickBot="1" x14ac:dyDescent="0.3">
      <c r="B11" s="9">
        <v>7</v>
      </c>
      <c r="C11" s="2" t="s">
        <v>93</v>
      </c>
      <c r="D11" s="2">
        <v>44.19</v>
      </c>
      <c r="E11" s="2">
        <v>2.33</v>
      </c>
      <c r="F11" s="2">
        <v>20</v>
      </c>
      <c r="G11" s="2">
        <v>0</v>
      </c>
    </row>
    <row r="12" spans="2:7" ht="15.75" thickBot="1" x14ac:dyDescent="0.3">
      <c r="B12" s="9">
        <v>8</v>
      </c>
      <c r="C12" s="2" t="s">
        <v>116</v>
      </c>
      <c r="D12" s="2">
        <v>46.51</v>
      </c>
      <c r="E12" s="2">
        <v>0</v>
      </c>
      <c r="F12" s="2">
        <v>20</v>
      </c>
      <c r="G12" s="2">
        <v>0</v>
      </c>
    </row>
    <row r="13" spans="2:7" ht="15.75" thickBot="1" x14ac:dyDescent="0.3">
      <c r="B13" s="9">
        <v>10</v>
      </c>
      <c r="C13" s="2" t="s">
        <v>65</v>
      </c>
      <c r="D13" s="2">
        <v>41.86</v>
      </c>
      <c r="E13" s="2">
        <v>2.33</v>
      </c>
      <c r="F13" s="2">
        <v>15</v>
      </c>
      <c r="G13" s="2">
        <v>0</v>
      </c>
    </row>
    <row r="14" spans="2:7" ht="15.75" thickBot="1" x14ac:dyDescent="0.3">
      <c r="B14" s="9">
        <v>12</v>
      </c>
      <c r="C14" s="2" t="s">
        <v>117</v>
      </c>
      <c r="D14" s="2">
        <v>39.53</v>
      </c>
      <c r="E14" s="2">
        <v>2.33</v>
      </c>
      <c r="F14" s="2">
        <v>20</v>
      </c>
      <c r="G14" s="2">
        <v>0</v>
      </c>
    </row>
    <row r="15" spans="2:7" ht="15.75" thickBot="1" x14ac:dyDescent="0.3">
      <c r="B15" s="9">
        <v>14</v>
      </c>
      <c r="C15" s="2" t="s">
        <v>118</v>
      </c>
      <c r="D15" s="2">
        <v>37.21</v>
      </c>
      <c r="E15" s="2">
        <v>2.33</v>
      </c>
      <c r="F15" s="2">
        <v>35</v>
      </c>
      <c r="G15" s="2">
        <v>0</v>
      </c>
    </row>
    <row r="16" spans="2:7" ht="15.75" thickBot="1" x14ac:dyDescent="0.3">
      <c r="B16" s="14"/>
      <c r="C16" s="15" t="s">
        <v>33</v>
      </c>
      <c r="D16" s="16">
        <v>65.12</v>
      </c>
      <c r="E16" s="16">
        <v>7.75</v>
      </c>
      <c r="F16" s="16">
        <v>12.5</v>
      </c>
      <c r="G16" s="16">
        <v>0</v>
      </c>
    </row>
    <row r="17" spans="2:7" ht="15.75" thickBot="1" x14ac:dyDescent="0.3">
      <c r="B17" s="17"/>
      <c r="C17" s="18" t="s">
        <v>34</v>
      </c>
      <c r="D17" s="19">
        <v>55.18</v>
      </c>
      <c r="E17" s="19">
        <v>5.5</v>
      </c>
      <c r="F17" s="19">
        <v>16.36</v>
      </c>
      <c r="G17" s="19">
        <v>0</v>
      </c>
    </row>
    <row r="19" spans="2:7" ht="15.75" x14ac:dyDescent="0.25">
      <c r="B19" s="21" t="s">
        <v>119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19"/>
  <sheetViews>
    <sheetView workbookViewId="0">
      <selection activeCell="D16" sqref="D16:G16"/>
    </sheetView>
  </sheetViews>
  <sheetFormatPr defaultRowHeight="15" x14ac:dyDescent="0.25"/>
  <cols>
    <col min="3" max="3" width="15.85546875" customWidth="1"/>
  </cols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111</v>
      </c>
      <c r="D5" s="3">
        <v>74.42</v>
      </c>
      <c r="E5" s="3">
        <v>23.26</v>
      </c>
      <c r="F5" s="3">
        <v>5</v>
      </c>
      <c r="G5" s="3">
        <v>0</v>
      </c>
    </row>
    <row r="6" spans="2:7" ht="15.75" thickBot="1" x14ac:dyDescent="0.3">
      <c r="B6" s="9">
        <v>2</v>
      </c>
      <c r="C6" s="2" t="s">
        <v>112</v>
      </c>
      <c r="D6" s="2">
        <v>65.12</v>
      </c>
      <c r="E6" s="2">
        <v>6.98</v>
      </c>
      <c r="F6" s="2">
        <v>5</v>
      </c>
      <c r="G6" s="2">
        <v>0</v>
      </c>
    </row>
    <row r="7" spans="2:7" ht="15.75" thickBot="1" x14ac:dyDescent="0.3">
      <c r="B7" s="11">
        <v>3</v>
      </c>
      <c r="C7" s="4" t="s">
        <v>43</v>
      </c>
      <c r="D7" s="4">
        <v>72.09</v>
      </c>
      <c r="E7" s="4">
        <v>6.98</v>
      </c>
      <c r="F7" s="4">
        <v>10</v>
      </c>
      <c r="G7" s="4">
        <v>0</v>
      </c>
    </row>
    <row r="8" spans="2:7" ht="15.75" thickBot="1" x14ac:dyDescent="0.3">
      <c r="B8" s="9">
        <v>4</v>
      </c>
      <c r="C8" s="2" t="s">
        <v>113</v>
      </c>
      <c r="D8" s="2">
        <v>69.77</v>
      </c>
      <c r="E8" s="2">
        <v>2.33</v>
      </c>
      <c r="F8" s="2">
        <v>5</v>
      </c>
      <c r="G8" s="2">
        <v>0</v>
      </c>
    </row>
    <row r="9" spans="2:7" ht="15.75" thickBot="1" x14ac:dyDescent="0.3">
      <c r="B9" s="9">
        <v>5</v>
      </c>
      <c r="C9" s="2" t="s">
        <v>114</v>
      </c>
      <c r="D9" s="2">
        <v>53.49</v>
      </c>
      <c r="E9" s="2">
        <v>2.33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115</v>
      </c>
      <c r="D10" s="2">
        <v>51.16</v>
      </c>
      <c r="E10" s="2">
        <v>2.33</v>
      </c>
      <c r="F10" s="2">
        <v>20</v>
      </c>
      <c r="G10" s="2">
        <v>0</v>
      </c>
    </row>
    <row r="11" spans="2:7" ht="15.75" thickBot="1" x14ac:dyDescent="0.3">
      <c r="B11" s="9">
        <v>7</v>
      </c>
      <c r="C11" s="2" t="s">
        <v>93</v>
      </c>
      <c r="D11" s="2">
        <v>44.19</v>
      </c>
      <c r="E11" s="2">
        <v>2.33</v>
      </c>
      <c r="F11" s="2">
        <v>20</v>
      </c>
      <c r="G11" s="2">
        <v>0</v>
      </c>
    </row>
    <row r="12" spans="2:7" ht="15.75" thickBot="1" x14ac:dyDescent="0.3">
      <c r="B12" s="9">
        <v>8</v>
      </c>
      <c r="C12" s="2" t="s">
        <v>116</v>
      </c>
      <c r="D12" s="2">
        <v>41.86</v>
      </c>
      <c r="E12" s="2">
        <v>0</v>
      </c>
      <c r="F12" s="2">
        <v>15</v>
      </c>
      <c r="G12" s="2">
        <v>0</v>
      </c>
    </row>
    <row r="13" spans="2:7" ht="15.75" thickBot="1" x14ac:dyDescent="0.3">
      <c r="B13" s="9">
        <v>10</v>
      </c>
      <c r="C13" s="2" t="s">
        <v>65</v>
      </c>
      <c r="D13" s="2">
        <v>41.86</v>
      </c>
      <c r="E13" s="2">
        <v>2.33</v>
      </c>
      <c r="F13" s="2">
        <v>15</v>
      </c>
      <c r="G13" s="2">
        <v>0</v>
      </c>
    </row>
    <row r="14" spans="2:7" ht="15.75" thickBot="1" x14ac:dyDescent="0.3">
      <c r="B14" s="9">
        <v>12</v>
      </c>
      <c r="C14" s="2" t="s">
        <v>117</v>
      </c>
      <c r="D14" s="2">
        <v>37.21</v>
      </c>
      <c r="E14" s="2">
        <v>0</v>
      </c>
      <c r="F14" s="2">
        <v>20</v>
      </c>
      <c r="G14" s="2">
        <v>0</v>
      </c>
    </row>
    <row r="15" spans="2:7" ht="15.75" thickBot="1" x14ac:dyDescent="0.3">
      <c r="B15" s="9">
        <v>14</v>
      </c>
      <c r="C15" s="2" t="s">
        <v>118</v>
      </c>
      <c r="D15" s="2">
        <v>37.21</v>
      </c>
      <c r="E15" s="2">
        <v>2.33</v>
      </c>
      <c r="F15" s="2">
        <v>35</v>
      </c>
      <c r="G15" s="2">
        <v>0</v>
      </c>
    </row>
    <row r="16" spans="2:7" ht="15.75" thickBot="1" x14ac:dyDescent="0.3">
      <c r="B16" s="14"/>
      <c r="C16" s="15" t="s">
        <v>33</v>
      </c>
      <c r="D16" s="16">
        <v>62.4</v>
      </c>
      <c r="E16" s="16">
        <v>6.98</v>
      </c>
      <c r="F16" s="16">
        <v>10</v>
      </c>
      <c r="G16" s="16">
        <v>0</v>
      </c>
    </row>
    <row r="17" spans="2:7" ht="15.75" thickBot="1" x14ac:dyDescent="0.3">
      <c r="B17" s="17"/>
      <c r="C17" s="18" t="s">
        <v>34</v>
      </c>
      <c r="D17" s="19">
        <v>53.49</v>
      </c>
      <c r="E17" s="19">
        <v>4.6500000000000004</v>
      </c>
      <c r="F17" s="19">
        <v>15</v>
      </c>
      <c r="G17" s="19">
        <v>0</v>
      </c>
    </row>
    <row r="19" spans="2:7" ht="15.75" x14ac:dyDescent="0.25">
      <c r="B19" s="21" t="s">
        <v>120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G19"/>
  <sheetViews>
    <sheetView workbookViewId="0">
      <selection activeCell="D16" sqref="D16:G16"/>
    </sheetView>
  </sheetViews>
  <sheetFormatPr defaultRowHeight="15" x14ac:dyDescent="0.25"/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21</v>
      </c>
      <c r="D5" s="3">
        <v>100</v>
      </c>
      <c r="E5" s="3">
        <v>83.72</v>
      </c>
      <c r="F5" s="3">
        <v>0</v>
      </c>
      <c r="G5" s="3">
        <v>0</v>
      </c>
    </row>
    <row r="6" spans="2:7" ht="15.75" thickBot="1" x14ac:dyDescent="0.3">
      <c r="B6" s="9">
        <v>2</v>
      </c>
      <c r="C6" s="2" t="s">
        <v>128</v>
      </c>
      <c r="D6" s="2">
        <v>100</v>
      </c>
      <c r="E6" s="2">
        <v>53.49</v>
      </c>
      <c r="F6" s="2">
        <v>0</v>
      </c>
      <c r="G6" s="2">
        <v>0</v>
      </c>
    </row>
    <row r="7" spans="2:7" ht="15.75" thickBot="1" x14ac:dyDescent="0.3">
      <c r="B7" s="9">
        <v>3</v>
      </c>
      <c r="C7" s="2" t="s">
        <v>129</v>
      </c>
      <c r="D7" s="2">
        <v>100</v>
      </c>
      <c r="E7" s="2">
        <v>69.77</v>
      </c>
      <c r="F7" s="2">
        <v>5</v>
      </c>
      <c r="G7" s="2">
        <v>0</v>
      </c>
    </row>
    <row r="8" spans="2:7" ht="15.75" thickBot="1" x14ac:dyDescent="0.3">
      <c r="B8" s="9">
        <v>4</v>
      </c>
      <c r="C8" s="2" t="s">
        <v>130</v>
      </c>
      <c r="D8" s="2">
        <v>97.67</v>
      </c>
      <c r="E8" s="2">
        <v>48.84</v>
      </c>
      <c r="F8" s="2">
        <v>5</v>
      </c>
      <c r="G8" s="2">
        <v>0</v>
      </c>
    </row>
    <row r="9" spans="2:7" ht="15.75" thickBot="1" x14ac:dyDescent="0.3">
      <c r="B9" s="9">
        <v>5</v>
      </c>
      <c r="C9" s="2" t="s">
        <v>114</v>
      </c>
      <c r="D9" s="2">
        <v>100</v>
      </c>
      <c r="E9" s="2">
        <v>32.56</v>
      </c>
      <c r="F9" s="2">
        <v>5</v>
      </c>
      <c r="G9" s="2">
        <v>0</v>
      </c>
    </row>
    <row r="10" spans="2:7" ht="15.75" thickBot="1" x14ac:dyDescent="0.3">
      <c r="B10" s="11">
        <v>6</v>
      </c>
      <c r="C10" s="4" t="s">
        <v>131</v>
      </c>
      <c r="D10" s="4">
        <v>90.7</v>
      </c>
      <c r="E10" s="4">
        <v>20.93</v>
      </c>
      <c r="F10" s="4">
        <v>10</v>
      </c>
      <c r="G10" s="4">
        <v>0</v>
      </c>
    </row>
    <row r="11" spans="2:7" ht="15.75" thickBot="1" x14ac:dyDescent="0.3">
      <c r="B11" s="9">
        <v>7</v>
      </c>
      <c r="C11" s="2" t="s">
        <v>132</v>
      </c>
      <c r="D11" s="2">
        <v>76.739999999999995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94</v>
      </c>
      <c r="D12" s="2">
        <v>62.79</v>
      </c>
      <c r="E12" s="2">
        <v>2.33</v>
      </c>
      <c r="F12" s="2">
        <v>20</v>
      </c>
      <c r="G12" s="2">
        <v>0</v>
      </c>
    </row>
    <row r="13" spans="2:7" ht="15.75" thickBot="1" x14ac:dyDescent="0.3">
      <c r="B13" s="9">
        <v>10</v>
      </c>
      <c r="C13" s="2" t="s">
        <v>133</v>
      </c>
      <c r="D13" s="2">
        <v>55.81</v>
      </c>
      <c r="E13" s="2">
        <v>4.6500000000000004</v>
      </c>
      <c r="F13" s="2">
        <v>15</v>
      </c>
      <c r="G13" s="2">
        <v>0</v>
      </c>
    </row>
    <row r="14" spans="2:7" ht="15.75" thickBot="1" x14ac:dyDescent="0.3">
      <c r="B14" s="9">
        <v>12</v>
      </c>
      <c r="C14" s="2" t="s">
        <v>134</v>
      </c>
      <c r="D14" s="2">
        <v>46.51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32</v>
      </c>
      <c r="D15" s="2">
        <v>46.51</v>
      </c>
      <c r="E15" s="2">
        <v>2.33</v>
      </c>
      <c r="F15" s="2">
        <v>20</v>
      </c>
      <c r="G15" s="2">
        <v>0</v>
      </c>
    </row>
    <row r="16" spans="2:7" ht="15.75" thickBot="1" x14ac:dyDescent="0.3">
      <c r="B16" s="14"/>
      <c r="C16" s="15" t="s">
        <v>33</v>
      </c>
      <c r="D16" s="16">
        <v>91.86</v>
      </c>
      <c r="E16" s="16">
        <v>46.51</v>
      </c>
      <c r="F16" s="16">
        <v>6.67</v>
      </c>
      <c r="G16" s="16">
        <v>0</v>
      </c>
    </row>
    <row r="17" spans="2:7" ht="15.75" thickBot="1" x14ac:dyDescent="0.3">
      <c r="B17" s="17"/>
      <c r="C17" s="18" t="s">
        <v>34</v>
      </c>
      <c r="D17" s="19">
        <v>79.7</v>
      </c>
      <c r="E17" s="19">
        <v>29.39</v>
      </c>
      <c r="F17" s="19">
        <v>11.36</v>
      </c>
      <c r="G17" s="19">
        <v>0</v>
      </c>
    </row>
    <row r="19" spans="2:7" ht="15.75" x14ac:dyDescent="0.25">
      <c r="B19" s="21" t="s">
        <v>135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G19"/>
  <sheetViews>
    <sheetView workbookViewId="0">
      <selection activeCell="D16" sqref="D16:G16"/>
    </sheetView>
  </sheetViews>
  <sheetFormatPr defaultRowHeight="15" x14ac:dyDescent="0.25"/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22</v>
      </c>
      <c r="D5" s="2">
        <v>74.42</v>
      </c>
      <c r="E5" s="2">
        <v>4.6500000000000004</v>
      </c>
      <c r="F5" s="2">
        <v>5</v>
      </c>
      <c r="G5" s="2">
        <v>0</v>
      </c>
    </row>
    <row r="6" spans="2:7" ht="15.75" thickBot="1" x14ac:dyDescent="0.3">
      <c r="B6" s="11">
        <v>2</v>
      </c>
      <c r="C6" s="4" t="s">
        <v>136</v>
      </c>
      <c r="D6" s="4">
        <v>76.739999999999995</v>
      </c>
      <c r="E6" s="4">
        <v>6.98</v>
      </c>
      <c r="F6" s="4">
        <v>10</v>
      </c>
      <c r="G6" s="4">
        <v>0</v>
      </c>
    </row>
    <row r="7" spans="2:7" ht="15.75" thickBot="1" x14ac:dyDescent="0.3">
      <c r="B7" s="9">
        <v>3</v>
      </c>
      <c r="C7" s="2" t="s">
        <v>137</v>
      </c>
      <c r="D7" s="2">
        <v>74.42</v>
      </c>
      <c r="E7" s="2">
        <v>6.98</v>
      </c>
      <c r="F7" s="2">
        <v>10</v>
      </c>
      <c r="G7" s="2">
        <v>0</v>
      </c>
    </row>
    <row r="8" spans="2:7" ht="15.75" thickBot="1" x14ac:dyDescent="0.3">
      <c r="B8" s="9">
        <v>4</v>
      </c>
      <c r="C8" s="2" t="s">
        <v>138</v>
      </c>
      <c r="D8" s="2">
        <v>60.47</v>
      </c>
      <c r="E8" s="2">
        <v>2.33</v>
      </c>
      <c r="F8" s="2">
        <v>15</v>
      </c>
      <c r="G8" s="2">
        <v>0</v>
      </c>
    </row>
    <row r="9" spans="2:7" ht="15.75" thickBot="1" x14ac:dyDescent="0.3">
      <c r="B9" s="9">
        <v>5</v>
      </c>
      <c r="C9" s="2" t="s">
        <v>139</v>
      </c>
      <c r="D9" s="2">
        <v>51.16</v>
      </c>
      <c r="E9" s="2">
        <v>0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140</v>
      </c>
      <c r="D10" s="2">
        <v>60.47</v>
      </c>
      <c r="E10" s="2">
        <v>6.98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84</v>
      </c>
      <c r="D11" s="2">
        <v>51.16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141</v>
      </c>
      <c r="D12" s="2">
        <v>37.21</v>
      </c>
      <c r="E12" s="2">
        <v>2.33</v>
      </c>
      <c r="F12" s="2">
        <v>20</v>
      </c>
      <c r="G12" s="2">
        <v>0</v>
      </c>
    </row>
    <row r="13" spans="2:7" ht="15.75" thickBot="1" x14ac:dyDescent="0.3">
      <c r="B13" s="9">
        <v>10</v>
      </c>
      <c r="C13" s="2" t="s">
        <v>30</v>
      </c>
      <c r="D13" s="2">
        <v>44.19</v>
      </c>
      <c r="E13" s="2">
        <v>2.33</v>
      </c>
      <c r="F13" s="2">
        <v>25</v>
      </c>
      <c r="G13" s="2">
        <v>0</v>
      </c>
    </row>
    <row r="14" spans="2:7" ht="15.75" thickBot="1" x14ac:dyDescent="0.3">
      <c r="B14" s="9">
        <v>12</v>
      </c>
      <c r="C14" s="2" t="s">
        <v>142</v>
      </c>
      <c r="D14" s="2">
        <v>37.21</v>
      </c>
      <c r="E14" s="2">
        <v>2.33</v>
      </c>
      <c r="F14" s="2">
        <v>25</v>
      </c>
      <c r="G14" s="2">
        <v>0</v>
      </c>
    </row>
    <row r="15" spans="2:7" ht="15.75" thickBot="1" x14ac:dyDescent="0.3">
      <c r="B15" s="9">
        <v>14</v>
      </c>
      <c r="C15" s="2" t="s">
        <v>127</v>
      </c>
      <c r="D15" s="2">
        <v>34.880000000000003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63.95</v>
      </c>
      <c r="E16" s="16">
        <v>5.04</v>
      </c>
      <c r="F16" s="16">
        <v>11.67</v>
      </c>
      <c r="G16" s="16">
        <v>0</v>
      </c>
    </row>
    <row r="17" spans="2:7" ht="15.75" thickBot="1" x14ac:dyDescent="0.3">
      <c r="B17" s="17"/>
      <c r="C17" s="18" t="s">
        <v>34</v>
      </c>
      <c r="D17" s="19">
        <v>54.76</v>
      </c>
      <c r="E17" s="19">
        <v>3.59</v>
      </c>
      <c r="F17" s="19">
        <v>16.36</v>
      </c>
      <c r="G17" s="19">
        <v>0</v>
      </c>
    </row>
    <row r="19" spans="2:7" ht="15.75" x14ac:dyDescent="0.25">
      <c r="B19" s="21" t="s">
        <v>143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G19"/>
  <sheetViews>
    <sheetView workbookViewId="0">
      <selection activeCell="D16" sqref="D16:G16"/>
    </sheetView>
  </sheetViews>
  <sheetFormatPr defaultRowHeight="15" x14ac:dyDescent="0.25"/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19</v>
      </c>
      <c r="D5" s="3">
        <v>100</v>
      </c>
      <c r="E5" s="3">
        <v>76.739999999999995</v>
      </c>
      <c r="F5" s="3">
        <v>0</v>
      </c>
      <c r="G5" s="3">
        <v>0</v>
      </c>
    </row>
    <row r="6" spans="2:7" ht="15.75" thickBot="1" x14ac:dyDescent="0.3">
      <c r="B6" s="9">
        <v>2</v>
      </c>
      <c r="C6" s="2" t="s">
        <v>128</v>
      </c>
      <c r="D6" s="2">
        <v>100</v>
      </c>
      <c r="E6" s="2">
        <v>62.79</v>
      </c>
      <c r="F6" s="2">
        <v>5</v>
      </c>
      <c r="G6" s="2">
        <v>0</v>
      </c>
    </row>
    <row r="7" spans="2:7" ht="15.75" thickBot="1" x14ac:dyDescent="0.3">
      <c r="B7" s="11">
        <v>3</v>
      </c>
      <c r="C7" s="4" t="s">
        <v>144</v>
      </c>
      <c r="D7" s="4">
        <v>97.67</v>
      </c>
      <c r="E7" s="4">
        <v>41.86</v>
      </c>
      <c r="F7" s="4">
        <v>15</v>
      </c>
      <c r="G7" s="4">
        <v>0</v>
      </c>
    </row>
    <row r="8" spans="2:7" ht="15.75" thickBot="1" x14ac:dyDescent="0.3">
      <c r="B8" s="9">
        <v>4</v>
      </c>
      <c r="C8" s="2" t="s">
        <v>91</v>
      </c>
      <c r="D8" s="2">
        <v>90.7</v>
      </c>
      <c r="E8" s="2">
        <v>25.58</v>
      </c>
      <c r="F8" s="2">
        <v>10</v>
      </c>
      <c r="G8" s="2">
        <v>0</v>
      </c>
    </row>
    <row r="9" spans="2:7" ht="15.75" thickBot="1" x14ac:dyDescent="0.3">
      <c r="B9" s="9">
        <v>5</v>
      </c>
      <c r="C9" s="2" t="s">
        <v>61</v>
      </c>
      <c r="D9" s="2">
        <v>90.7</v>
      </c>
      <c r="E9" s="2">
        <v>16.28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115</v>
      </c>
      <c r="D10" s="2">
        <v>86.05</v>
      </c>
      <c r="E10" s="2">
        <v>11.63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145</v>
      </c>
      <c r="D11" s="2">
        <v>81.400000000000006</v>
      </c>
      <c r="E11" s="2">
        <v>0</v>
      </c>
      <c r="F11" s="2">
        <v>20</v>
      </c>
      <c r="G11" s="2">
        <v>0</v>
      </c>
    </row>
    <row r="12" spans="2:7" ht="15.75" thickBot="1" x14ac:dyDescent="0.3">
      <c r="B12" s="9">
        <v>8</v>
      </c>
      <c r="C12" s="2" t="s">
        <v>29</v>
      </c>
      <c r="D12" s="2">
        <v>62.79</v>
      </c>
      <c r="E12" s="2">
        <v>2.33</v>
      </c>
      <c r="F12" s="2">
        <v>15</v>
      </c>
      <c r="G12" s="2">
        <v>0</v>
      </c>
    </row>
    <row r="13" spans="2:7" ht="15.75" thickBot="1" x14ac:dyDescent="0.3">
      <c r="B13" s="9">
        <v>10</v>
      </c>
      <c r="C13" s="2" t="s">
        <v>146</v>
      </c>
      <c r="D13" s="2">
        <v>67.44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147</v>
      </c>
      <c r="D14" s="2">
        <v>41.86</v>
      </c>
      <c r="E14" s="2">
        <v>2.33</v>
      </c>
      <c r="F14" s="2">
        <v>35</v>
      </c>
      <c r="G14" s="2">
        <v>0</v>
      </c>
    </row>
    <row r="15" spans="2:7" ht="15.75" thickBot="1" x14ac:dyDescent="0.3">
      <c r="B15" s="9">
        <v>14</v>
      </c>
      <c r="C15" s="2" t="s">
        <v>50</v>
      </c>
      <c r="D15" s="2">
        <v>32.56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89.53</v>
      </c>
      <c r="E16" s="16">
        <v>36.82</v>
      </c>
      <c r="F16" s="16">
        <v>9.17</v>
      </c>
      <c r="G16" s="16">
        <v>0</v>
      </c>
    </row>
    <row r="17" spans="2:7" ht="15.75" thickBot="1" x14ac:dyDescent="0.3">
      <c r="B17" s="17"/>
      <c r="C17" s="18" t="s">
        <v>34</v>
      </c>
      <c r="D17" s="19">
        <v>77.38</v>
      </c>
      <c r="E17" s="19">
        <v>22.2</v>
      </c>
      <c r="F17" s="19">
        <v>15.91</v>
      </c>
      <c r="G17" s="19">
        <v>0</v>
      </c>
    </row>
    <row r="19" spans="2:7" ht="15.75" x14ac:dyDescent="0.25">
      <c r="B19" s="21" t="s">
        <v>148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G19"/>
  <sheetViews>
    <sheetView workbookViewId="0">
      <selection activeCell="D16" sqref="D16:G16"/>
    </sheetView>
  </sheetViews>
  <sheetFormatPr defaultRowHeight="15" x14ac:dyDescent="0.25"/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1">
        <v>1</v>
      </c>
      <c r="C5" s="4" t="s">
        <v>111</v>
      </c>
      <c r="D5" s="4">
        <v>93.02</v>
      </c>
      <c r="E5" s="4">
        <v>20.93</v>
      </c>
      <c r="F5" s="4">
        <v>10</v>
      </c>
      <c r="G5" s="4">
        <v>0</v>
      </c>
    </row>
    <row r="6" spans="2:7" ht="15.75" thickBot="1" x14ac:dyDescent="0.3">
      <c r="B6" s="10">
        <v>2</v>
      </c>
      <c r="C6" s="3" t="s">
        <v>149</v>
      </c>
      <c r="D6" s="3">
        <v>90.7</v>
      </c>
      <c r="E6" s="3">
        <v>23.26</v>
      </c>
      <c r="F6" s="3">
        <v>5</v>
      </c>
      <c r="G6" s="3">
        <v>0</v>
      </c>
    </row>
    <row r="7" spans="2:7" ht="15.75" thickBot="1" x14ac:dyDescent="0.3">
      <c r="B7" s="9">
        <v>3</v>
      </c>
      <c r="C7" s="2" t="s">
        <v>150</v>
      </c>
      <c r="D7" s="2">
        <v>86.05</v>
      </c>
      <c r="E7" s="2">
        <v>13.95</v>
      </c>
      <c r="F7" s="2">
        <v>5</v>
      </c>
      <c r="G7" s="2">
        <v>0</v>
      </c>
    </row>
    <row r="8" spans="2:7" ht="15.75" thickBot="1" x14ac:dyDescent="0.3">
      <c r="B8" s="9">
        <v>4</v>
      </c>
      <c r="C8" s="2" t="s">
        <v>151</v>
      </c>
      <c r="D8" s="2">
        <v>60.47</v>
      </c>
      <c r="E8" s="2">
        <v>2.33</v>
      </c>
      <c r="F8" s="2">
        <v>15</v>
      </c>
      <c r="G8" s="2">
        <v>0</v>
      </c>
    </row>
    <row r="9" spans="2:7" ht="15.75" thickBot="1" x14ac:dyDescent="0.3">
      <c r="B9" s="9">
        <v>5</v>
      </c>
      <c r="C9" s="2" t="s">
        <v>152</v>
      </c>
      <c r="D9" s="2">
        <v>79.069999999999993</v>
      </c>
      <c r="E9" s="2">
        <v>0</v>
      </c>
      <c r="F9" s="2">
        <v>15</v>
      </c>
      <c r="G9" s="2">
        <v>0</v>
      </c>
    </row>
    <row r="10" spans="2:7" ht="15.75" thickBot="1" x14ac:dyDescent="0.3">
      <c r="B10" s="9">
        <v>6</v>
      </c>
      <c r="C10" s="2" t="s">
        <v>62</v>
      </c>
      <c r="D10" s="2">
        <v>62.79</v>
      </c>
      <c r="E10" s="2">
        <v>2.33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46</v>
      </c>
      <c r="D11" s="2">
        <v>53.49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153</v>
      </c>
      <c r="D12" s="2">
        <v>51.16</v>
      </c>
      <c r="E12" s="2">
        <v>2.33</v>
      </c>
      <c r="F12" s="2">
        <v>15</v>
      </c>
      <c r="G12" s="2">
        <v>0</v>
      </c>
    </row>
    <row r="13" spans="2:7" ht="15.75" thickBot="1" x14ac:dyDescent="0.3">
      <c r="B13" s="9">
        <v>10</v>
      </c>
      <c r="C13" s="2" t="s">
        <v>30</v>
      </c>
      <c r="D13" s="2">
        <v>37.21</v>
      </c>
      <c r="E13" s="2">
        <v>2.33</v>
      </c>
      <c r="F13" s="2">
        <v>30</v>
      </c>
      <c r="G13" s="2">
        <v>0</v>
      </c>
    </row>
    <row r="14" spans="2:7" ht="15.75" thickBot="1" x14ac:dyDescent="0.3">
      <c r="B14" s="9">
        <v>12</v>
      </c>
      <c r="C14" s="2" t="s">
        <v>134</v>
      </c>
      <c r="D14" s="2">
        <v>34.880000000000003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154</v>
      </c>
      <c r="D15" s="2">
        <v>37.21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74.03</v>
      </c>
      <c r="E16" s="16">
        <v>10.85</v>
      </c>
      <c r="F16" s="16">
        <v>10</v>
      </c>
      <c r="G16" s="16">
        <v>0</v>
      </c>
    </row>
    <row r="17" spans="2:7" ht="15.75" thickBot="1" x14ac:dyDescent="0.3">
      <c r="B17" s="17"/>
      <c r="C17" s="18" t="s">
        <v>34</v>
      </c>
      <c r="D17" s="19">
        <v>62.37</v>
      </c>
      <c r="E17" s="19">
        <v>6.77</v>
      </c>
      <c r="F17" s="19">
        <v>16.36</v>
      </c>
      <c r="G17" s="19">
        <v>0</v>
      </c>
    </row>
    <row r="19" spans="2:7" ht="15.75" x14ac:dyDescent="0.25">
      <c r="B19" s="21" t="s">
        <v>155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G19"/>
  <sheetViews>
    <sheetView workbookViewId="0">
      <selection activeCell="D16" sqref="D16:G16"/>
    </sheetView>
  </sheetViews>
  <sheetFormatPr defaultRowHeight="15" x14ac:dyDescent="0.25"/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9">
        <v>1</v>
      </c>
      <c r="C5" s="2" t="s">
        <v>22</v>
      </c>
      <c r="D5" s="2">
        <v>95.35</v>
      </c>
      <c r="E5" s="2">
        <v>65.12</v>
      </c>
      <c r="F5" s="2">
        <v>5</v>
      </c>
      <c r="G5" s="2">
        <v>0</v>
      </c>
    </row>
    <row r="6" spans="2:7" ht="15.75" thickBot="1" x14ac:dyDescent="0.3">
      <c r="B6" s="10">
        <v>2</v>
      </c>
      <c r="C6" s="3" t="s">
        <v>70</v>
      </c>
      <c r="D6" s="3">
        <v>100</v>
      </c>
      <c r="E6" s="3">
        <v>76.739999999999995</v>
      </c>
      <c r="F6" s="3">
        <v>5</v>
      </c>
      <c r="G6" s="3">
        <v>0</v>
      </c>
    </row>
    <row r="7" spans="2:7" ht="15.75" thickBot="1" x14ac:dyDescent="0.3">
      <c r="B7" s="11">
        <v>3</v>
      </c>
      <c r="C7" s="4" t="s">
        <v>43</v>
      </c>
      <c r="D7" s="4">
        <v>97.67</v>
      </c>
      <c r="E7" s="4">
        <v>65.12</v>
      </c>
      <c r="F7" s="4">
        <v>10</v>
      </c>
      <c r="G7" s="4">
        <v>0</v>
      </c>
    </row>
    <row r="8" spans="2:7" ht="15.75" thickBot="1" x14ac:dyDescent="0.3">
      <c r="B8" s="9">
        <v>4</v>
      </c>
      <c r="C8" s="2" t="s">
        <v>156</v>
      </c>
      <c r="D8" s="2">
        <v>95.35</v>
      </c>
      <c r="E8" s="2">
        <v>44.19</v>
      </c>
      <c r="F8" s="2">
        <v>5</v>
      </c>
      <c r="G8" s="2">
        <v>0</v>
      </c>
    </row>
    <row r="9" spans="2:7" ht="15.75" thickBot="1" x14ac:dyDescent="0.3">
      <c r="B9" s="9">
        <v>5</v>
      </c>
      <c r="C9" s="2" t="s">
        <v>83</v>
      </c>
      <c r="D9" s="2">
        <v>95.35</v>
      </c>
      <c r="E9" s="2">
        <v>23.26</v>
      </c>
      <c r="F9" s="2">
        <v>10</v>
      </c>
      <c r="G9" s="2">
        <v>0</v>
      </c>
    </row>
    <row r="10" spans="2:7" ht="15.75" thickBot="1" x14ac:dyDescent="0.3">
      <c r="B10" s="9">
        <v>6</v>
      </c>
      <c r="C10" s="2" t="s">
        <v>157</v>
      </c>
      <c r="D10" s="2">
        <v>88.37</v>
      </c>
      <c r="E10" s="2">
        <v>6.98</v>
      </c>
      <c r="F10" s="2">
        <v>10</v>
      </c>
      <c r="G10" s="2">
        <v>0</v>
      </c>
    </row>
    <row r="11" spans="2:7" ht="15.75" thickBot="1" x14ac:dyDescent="0.3">
      <c r="B11" s="9">
        <v>7</v>
      </c>
      <c r="C11" s="2" t="s">
        <v>158</v>
      </c>
      <c r="D11" s="2">
        <v>81.400000000000006</v>
      </c>
      <c r="E11" s="2">
        <v>16.28</v>
      </c>
      <c r="F11" s="2">
        <v>10</v>
      </c>
      <c r="G11" s="2">
        <v>0</v>
      </c>
    </row>
    <row r="12" spans="2:7" ht="15.75" thickBot="1" x14ac:dyDescent="0.3">
      <c r="B12" s="9">
        <v>8</v>
      </c>
      <c r="C12" s="2" t="s">
        <v>159</v>
      </c>
      <c r="D12" s="2">
        <v>81.400000000000006</v>
      </c>
      <c r="E12" s="2">
        <v>9.3000000000000007</v>
      </c>
      <c r="F12" s="2">
        <v>15</v>
      </c>
      <c r="G12" s="2">
        <v>0</v>
      </c>
    </row>
    <row r="13" spans="2:7" ht="15.75" thickBot="1" x14ac:dyDescent="0.3">
      <c r="B13" s="9">
        <v>10</v>
      </c>
      <c r="C13" s="2" t="s">
        <v>160</v>
      </c>
      <c r="D13" s="2">
        <v>67.44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134</v>
      </c>
      <c r="D14" s="2">
        <v>58.14</v>
      </c>
      <c r="E14" s="2">
        <v>2.33</v>
      </c>
      <c r="F14" s="2">
        <v>20</v>
      </c>
      <c r="G14" s="2">
        <v>0</v>
      </c>
    </row>
    <row r="15" spans="2:7" ht="15.75" thickBot="1" x14ac:dyDescent="0.3">
      <c r="B15" s="9">
        <v>14</v>
      </c>
      <c r="C15" s="2" t="s">
        <v>161</v>
      </c>
      <c r="D15" s="2">
        <v>39.53</v>
      </c>
      <c r="E15" s="2">
        <v>2.33</v>
      </c>
      <c r="F15" s="2">
        <v>25</v>
      </c>
      <c r="G15" s="2">
        <v>0</v>
      </c>
    </row>
    <row r="16" spans="2:7" ht="15.75" thickBot="1" x14ac:dyDescent="0.3">
      <c r="B16" s="14"/>
      <c r="C16" s="15" t="s">
        <v>33</v>
      </c>
      <c r="D16" s="16">
        <v>93.02</v>
      </c>
      <c r="E16" s="16">
        <v>44.57</v>
      </c>
      <c r="F16" s="16">
        <v>8.33</v>
      </c>
      <c r="G16" s="16">
        <v>0</v>
      </c>
    </row>
    <row r="17" spans="2:7" ht="15.75" thickBot="1" x14ac:dyDescent="0.3">
      <c r="B17" s="17"/>
      <c r="C17" s="18" t="s">
        <v>34</v>
      </c>
      <c r="D17" s="19">
        <v>81.819999999999993</v>
      </c>
      <c r="E17" s="19">
        <v>28.54</v>
      </c>
      <c r="F17" s="19">
        <v>12.27</v>
      </c>
      <c r="G17" s="19">
        <v>0</v>
      </c>
    </row>
    <row r="19" spans="2:7" ht="15.75" x14ac:dyDescent="0.25">
      <c r="B19" s="21" t="s">
        <v>162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G19"/>
  <sheetViews>
    <sheetView workbookViewId="0">
      <selection activeCell="D16" sqref="D16:G16"/>
    </sheetView>
  </sheetViews>
  <sheetFormatPr defaultRowHeight="15" x14ac:dyDescent="0.25"/>
  <sheetData>
    <row r="1" spans="2:7" ht="15.75" thickBot="1" x14ac:dyDescent="0.3"/>
    <row r="2" spans="2:7" ht="15.75" thickBot="1" x14ac:dyDescent="0.3">
      <c r="D2" s="56" t="s">
        <v>3</v>
      </c>
      <c r="E2" s="57"/>
      <c r="F2" s="56" t="s">
        <v>4</v>
      </c>
      <c r="G2" s="58"/>
    </row>
    <row r="3" spans="2:7" x14ac:dyDescent="0.25">
      <c r="B3" s="5" t="s">
        <v>13</v>
      </c>
      <c r="C3" s="7" t="s">
        <v>15</v>
      </c>
      <c r="D3" s="59" t="s">
        <v>17</v>
      </c>
      <c r="E3" s="59" t="s">
        <v>18</v>
      </c>
      <c r="F3" s="59" t="s">
        <v>17</v>
      </c>
      <c r="G3" s="59" t="s">
        <v>18</v>
      </c>
    </row>
    <row r="4" spans="2:7" ht="15.75" thickBot="1" x14ac:dyDescent="0.3">
      <c r="B4" s="6" t="s">
        <v>14</v>
      </c>
      <c r="C4" s="8" t="s">
        <v>16</v>
      </c>
      <c r="D4" s="60"/>
      <c r="E4" s="60"/>
      <c r="F4" s="60"/>
      <c r="G4" s="60"/>
    </row>
    <row r="5" spans="2:7" ht="15.75" thickBot="1" x14ac:dyDescent="0.3">
      <c r="B5" s="10">
        <v>1</v>
      </c>
      <c r="C5" s="3" t="s">
        <v>21</v>
      </c>
      <c r="D5" s="3">
        <v>97.67</v>
      </c>
      <c r="E5" s="3">
        <v>37.21</v>
      </c>
      <c r="F5" s="3">
        <v>0</v>
      </c>
      <c r="G5" s="3">
        <v>0</v>
      </c>
    </row>
    <row r="6" spans="2:7" ht="15.75" thickBot="1" x14ac:dyDescent="0.3">
      <c r="B6" s="9">
        <v>2</v>
      </c>
      <c r="C6" s="2" t="s">
        <v>20</v>
      </c>
      <c r="D6" s="2">
        <v>90.7</v>
      </c>
      <c r="E6" s="2">
        <v>9.3000000000000007</v>
      </c>
      <c r="F6" s="2">
        <v>5</v>
      </c>
      <c r="G6" s="2">
        <v>0</v>
      </c>
    </row>
    <row r="7" spans="2:7" ht="15.75" thickBot="1" x14ac:dyDescent="0.3">
      <c r="B7" s="11">
        <v>3</v>
      </c>
      <c r="C7" s="4" t="s">
        <v>163</v>
      </c>
      <c r="D7" s="4">
        <v>86.05</v>
      </c>
      <c r="E7" s="4">
        <v>11.63</v>
      </c>
      <c r="F7" s="4">
        <v>5</v>
      </c>
      <c r="G7" s="4">
        <v>0</v>
      </c>
    </row>
    <row r="8" spans="2:7" ht="15.75" thickBot="1" x14ac:dyDescent="0.3">
      <c r="B8" s="9">
        <v>4</v>
      </c>
      <c r="C8" s="2" t="s">
        <v>151</v>
      </c>
      <c r="D8" s="2">
        <v>67.44</v>
      </c>
      <c r="E8" s="2">
        <v>4.6500000000000004</v>
      </c>
      <c r="F8" s="2">
        <v>10</v>
      </c>
      <c r="G8" s="2">
        <v>0</v>
      </c>
    </row>
    <row r="9" spans="2:7" ht="15.75" thickBot="1" x14ac:dyDescent="0.3">
      <c r="B9" s="9">
        <v>5</v>
      </c>
      <c r="C9" s="2" t="s">
        <v>164</v>
      </c>
      <c r="D9" s="2">
        <v>62.79</v>
      </c>
      <c r="E9" s="2">
        <v>4.6500000000000004</v>
      </c>
      <c r="F9" s="2">
        <v>10</v>
      </c>
      <c r="G9" s="2">
        <v>0</v>
      </c>
    </row>
    <row r="10" spans="2:7" ht="15.75" thickBot="1" x14ac:dyDescent="0.3">
      <c r="B10" s="9">
        <v>6</v>
      </c>
      <c r="C10" s="2" t="s">
        <v>27</v>
      </c>
      <c r="D10" s="2">
        <v>55.81</v>
      </c>
      <c r="E10" s="2">
        <v>0</v>
      </c>
      <c r="F10" s="2">
        <v>15</v>
      </c>
      <c r="G10" s="2">
        <v>0</v>
      </c>
    </row>
    <row r="11" spans="2:7" ht="15.75" thickBot="1" x14ac:dyDescent="0.3">
      <c r="B11" s="9">
        <v>7</v>
      </c>
      <c r="C11" s="2" t="s">
        <v>46</v>
      </c>
      <c r="D11" s="2">
        <v>53.49</v>
      </c>
      <c r="E11" s="2">
        <v>2.33</v>
      </c>
      <c r="F11" s="2">
        <v>15</v>
      </c>
      <c r="G11" s="2">
        <v>0</v>
      </c>
    </row>
    <row r="12" spans="2:7" ht="15.75" thickBot="1" x14ac:dyDescent="0.3">
      <c r="B12" s="9">
        <v>8</v>
      </c>
      <c r="C12" s="2" t="s">
        <v>116</v>
      </c>
      <c r="D12" s="2">
        <v>44.19</v>
      </c>
      <c r="E12" s="2">
        <v>2.33</v>
      </c>
      <c r="F12" s="2">
        <v>30</v>
      </c>
      <c r="G12" s="2">
        <v>0</v>
      </c>
    </row>
    <row r="13" spans="2:7" ht="15.75" thickBot="1" x14ac:dyDescent="0.3">
      <c r="B13" s="9">
        <v>10</v>
      </c>
      <c r="C13" s="2" t="s">
        <v>165</v>
      </c>
      <c r="D13" s="2">
        <v>44.19</v>
      </c>
      <c r="E13" s="2">
        <v>2.33</v>
      </c>
      <c r="F13" s="2">
        <v>20</v>
      </c>
      <c r="G13" s="2">
        <v>0</v>
      </c>
    </row>
    <row r="14" spans="2:7" ht="15.75" thickBot="1" x14ac:dyDescent="0.3">
      <c r="B14" s="9">
        <v>12</v>
      </c>
      <c r="C14" s="2" t="s">
        <v>76</v>
      </c>
      <c r="D14" s="2">
        <v>34.880000000000003</v>
      </c>
      <c r="E14" s="2">
        <v>2.33</v>
      </c>
      <c r="F14" s="2">
        <v>30</v>
      </c>
      <c r="G14" s="2">
        <v>0</v>
      </c>
    </row>
    <row r="15" spans="2:7" ht="15.75" thickBot="1" x14ac:dyDescent="0.3">
      <c r="B15" s="9">
        <v>14</v>
      </c>
      <c r="C15" s="2" t="s">
        <v>166</v>
      </c>
      <c r="D15" s="2">
        <v>30.23</v>
      </c>
      <c r="E15" s="2">
        <v>2.33</v>
      </c>
      <c r="F15" s="2">
        <v>30</v>
      </c>
      <c r="G15" s="2">
        <v>0</v>
      </c>
    </row>
    <row r="16" spans="2:7" ht="15.75" thickBot="1" x14ac:dyDescent="0.3">
      <c r="B16" s="14"/>
      <c r="C16" s="15" t="s">
        <v>33</v>
      </c>
      <c r="D16" s="16">
        <v>73.64</v>
      </c>
      <c r="E16" s="16">
        <v>10.85</v>
      </c>
      <c r="F16" s="16">
        <v>10.83</v>
      </c>
      <c r="G16" s="16">
        <v>0</v>
      </c>
    </row>
    <row r="17" spans="2:7" ht="15.75" thickBot="1" x14ac:dyDescent="0.3">
      <c r="B17" s="17"/>
      <c r="C17" s="18" t="s">
        <v>34</v>
      </c>
      <c r="D17" s="19">
        <v>60.68</v>
      </c>
      <c r="E17" s="19">
        <v>7.19</v>
      </c>
      <c r="F17" s="19">
        <v>15.45</v>
      </c>
      <c r="G17" s="19">
        <v>0</v>
      </c>
    </row>
    <row r="19" spans="2:7" x14ac:dyDescent="0.25">
      <c r="B19" s="22" t="s">
        <v>167</v>
      </c>
    </row>
  </sheetData>
  <mergeCells count="6">
    <mergeCell ref="D2:E2"/>
    <mergeCell ref="F2:G2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sch4</dc:creator>
  <cp:lastModifiedBy>sch4</cp:lastModifiedBy>
  <dcterms:created xsi:type="dcterms:W3CDTF">2022-09-28T08:21:22Z</dcterms:created>
  <dcterms:modified xsi:type="dcterms:W3CDTF">2023-08-03T21:10:45Z</dcterms:modified>
</cp:coreProperties>
</file>